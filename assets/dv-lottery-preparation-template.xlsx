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emandeur Princ. - Époux (Moi)" sheetId="1" state="visible" r:id="rId3"/>
    <sheet name="Demandeur Princ. - Épouse" sheetId="2" state="visible" r:id="rId4"/>
    <sheet name="Enfant (Fils)" sheetId="3" state="visible" r:id="rId5"/>
    <sheet name="Checklist Docs &amp; Validation" sheetId="4" state="visible" r:id="rId6"/>
    <sheet name="Comparatif 2 Candidatures" sheetId="5" state="visible" r:id="rId7"/>
    <sheet name="Listes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<sst xmlns="http://schemas.openxmlformats.org/spreadsheetml/2006/main" count="925" uniqueCount="405">
  <si>
    <t xml:space="preserve">Candidature 1 — Demandeur principal : ÉPOUX (moi) — Togo</t>
  </si>
  <si>
    <t xml:space="preserve">Légende : cases JAUNES = à remplir · texte BLEU = prérempli d'après vos indications (à vérifier) · texte VERT sur gris = repris automatiquement d'un autre onglet · cases GRISES = calculées (ne pas modifier). Colonne D = exemple FICTIF de format, à remplacer par vos vraies données. Colonne G : cochez « Oui » une fois la valeur comparée au document officiel.</t>
  </si>
  <si>
    <t xml:space="preserve">Complétude (champs obligatoires remplis)</t>
  </si>
  <si>
    <t xml:space="preserve">Vérification (champs obligatoires cochés « Oui »)</t>
  </si>
  <si>
    <t xml:space="preserve">Champ officiel (formulaire)</t>
  </si>
  <si>
    <t xml:space="preserve">Libellé (FR)</t>
  </si>
  <si>
    <t xml:space="preserve">Valeur à saisir</t>
  </si>
  <si>
    <t xml:space="preserve">Exemple de format (fictif)</t>
  </si>
  <si>
    <t xml:space="preserve">Obligatoire</t>
  </si>
  <si>
    <t xml:space="preserve">Consigne / piège à éviter</t>
  </si>
  <si>
    <t xml:space="preserve">Vérifié ?</t>
  </si>
  <si>
    <t xml:space="preserve">A. IDENTITÉ — exactement comme sur le passeport et l'acte de naissance</t>
  </si>
  <si>
    <t xml:space="preserve">Family Name / Last Name</t>
  </si>
  <si>
    <t xml:space="preserve">Nom de famille</t>
  </si>
  <si>
    <t xml:space="preserve">KOFFI</t>
  </si>
  <si>
    <t xml:space="preserve">Oui</t>
  </si>
  <si>
    <t xml:space="preserve">Accents, tirets et ordre des noms exactement comme sur le passeport. Si une seule identité : la saisir en Last Name et mettre FNU en First Name (instruction habituelle, à revérifier).</t>
  </si>
  <si>
    <t xml:space="preserve">First Name</t>
  </si>
  <si>
    <t xml:space="preserve">Prénom (premier prénom)</t>
  </si>
  <si>
    <t xml:space="preserve">Mawuli</t>
  </si>
  <si>
    <t xml:space="preserve">Comme sur le passeport.</t>
  </si>
  <si>
    <t xml:space="preserve">Middle Name</t>
  </si>
  <si>
    <t xml:space="preserve">Autre(s) prénom(s)</t>
  </si>
  <si>
    <t xml:space="preserve">Kodjo</t>
  </si>
  <si>
    <t xml:space="preserve">Non</t>
  </si>
  <si>
    <t xml:space="preserve">Laisser vide s'il n'y en a pas.</t>
  </si>
  <si>
    <t xml:space="preserve">Gender (Sex)</t>
  </si>
  <si>
    <t xml:space="preserve">Genre</t>
  </si>
  <si>
    <t xml:space="preserve">Male</t>
  </si>
  <si>
    <t xml:space="preserve">Menu : Male / Female, comme sur le passeport.</t>
  </si>
  <si>
    <t xml:space="preserve">Birth Date — Day</t>
  </si>
  <si>
    <t xml:space="preserve">Jour de naissance</t>
  </si>
  <si>
    <t xml:space="preserve">7</t>
  </si>
  <si>
    <t xml:space="preserve">1 à 31.</t>
  </si>
  <si>
    <t xml:space="preserve">Birth Date — Month</t>
  </si>
  <si>
    <t xml:space="preserve">Mois de naissance</t>
  </si>
  <si>
    <t xml:space="preserve">3</t>
  </si>
  <si>
    <t xml:space="preserve">1 à 12.</t>
  </si>
  <si>
    <t xml:space="preserve">Birth Date — Year</t>
  </si>
  <si>
    <t xml:space="preserve">Année de naissance</t>
  </si>
  <si>
    <t xml:space="preserve">1992</t>
  </si>
  <si>
    <t xml:space="preserve">4 chiffres. Doit être identique sur toutes les pièces.</t>
  </si>
  <si>
    <t xml:space="preserve">City of Birth</t>
  </si>
  <si>
    <t xml:space="preserve">Ville de naissance</t>
  </si>
  <si>
    <t xml:space="preserve">Lomé</t>
  </si>
  <si>
    <t xml:space="preserve">Comme sur l'acte de naissance.</t>
  </si>
  <si>
    <t xml:space="preserve">Country of Birth</t>
  </si>
  <si>
    <t xml:space="preserve">Pays de naissance</t>
  </si>
  <si>
    <t xml:space="preserve">Togo</t>
  </si>
  <si>
    <t xml:space="preserve">À confirmer sur l'acte de naissance.</t>
  </si>
  <si>
    <t xml:space="preserve">Country of Eligibility for the DV Program</t>
  </si>
  <si>
    <t xml:space="preserve">Pays d'éligibilité (chargeability)</t>
  </si>
  <si>
    <t xml:space="preserve">Éligible par naissance. À revérifier dans la liste officielle des pays éligibles de la session.</t>
  </si>
  <si>
    <t xml:space="preserve">B. ADRESSE POSTALE &amp; CONTACT</t>
  </si>
  <si>
    <t xml:space="preserve">In Care Of</t>
  </si>
  <si>
    <t xml:space="preserve">À l'attention de (facultatif)</t>
  </si>
  <si>
    <t xml:space="preserve">Address Line 1</t>
  </si>
  <si>
    <t xml:space="preserve">Adresse — ligne 1</t>
  </si>
  <si>
    <t xml:space="preserve">123 Rue des Palmiers</t>
  </si>
  <si>
    <t xml:space="preserve">Address Line 2</t>
  </si>
  <si>
    <t xml:space="preserve">Adresse — ligne 2</t>
  </si>
  <si>
    <t xml:space="preserve">Quartier Adidogomé</t>
  </si>
  <si>
    <t xml:space="preserve">City/Town</t>
  </si>
  <si>
    <t xml:space="preserve">Ville</t>
  </si>
  <si>
    <t xml:space="preserve">Ville de résidence actuelle.</t>
  </si>
  <si>
    <t xml:space="preserve">District/Country/Province/State</t>
  </si>
  <si>
    <t xml:space="preserve">District / Région</t>
  </si>
  <si>
    <t xml:space="preserve">Maritime</t>
  </si>
  <si>
    <t xml:space="preserve">Postal Code / Zip Code</t>
  </si>
  <si>
    <t xml:space="preserve">Code postal</t>
  </si>
  <si>
    <t xml:space="preserve">00000</t>
  </si>
  <si>
    <t xml:space="preserve">S'il n'existe pas de code postal, saisir 00000.</t>
  </si>
  <si>
    <t xml:space="preserve">Country (mailing address)</t>
  </si>
  <si>
    <t xml:space="preserve">Pays (adresse postale)</t>
  </si>
  <si>
    <t xml:space="preserve">Country where you live today</t>
  </si>
  <si>
    <t xml:space="preserve">Pays de résidence actuel</t>
  </si>
  <si>
    <t xml:space="preserve">Phone Number (optional)</t>
  </si>
  <si>
    <t xml:space="preserve">Numéro de téléphone</t>
  </si>
  <si>
    <t xml:space="preserve">+228 90 00 00 00</t>
  </si>
  <si>
    <t xml:space="preserve">Facultatif sur le formulaire.</t>
  </si>
  <si>
    <t xml:space="preserve">E-mail Address</t>
  </si>
  <si>
    <t xml:space="preserve">Adresse e-mail</t>
  </si>
  <si>
    <t xml:space="preserve">prenom.nom@exemple.com</t>
  </si>
  <si>
    <t xml:space="preserve">Adresse personnelle que VOUS contrôlez, avec mot de passe fort et double authentification. Conseillé : une adresse distincte par candidature, chaque principal accédant à sa propre confirmation. Ne jamais la confier à un agent.</t>
  </si>
  <si>
    <t xml:space="preserve">C. ÉTUDES &amp; ÉTAT CIVIL</t>
  </si>
  <si>
    <t xml:space="preserve">Highest level of education</t>
  </si>
  <si>
    <t xml:space="preserve">Niveau d'études le plus élevé</t>
  </si>
  <si>
    <t xml:space="preserve">University degree</t>
  </si>
  <si>
    <t xml:space="preserve">Prérempli d'après votre Licence (Université de Lomé) : à vérifier sur le diplôme. Le formulaire demande le niveau d'études, pas le métier.</t>
  </si>
  <si>
    <t xml:space="preserve">Marital status</t>
  </si>
  <si>
    <t xml:space="preserve">Statut matrimonial</t>
  </si>
  <si>
    <t xml:space="preserve">Married and my spouse is NOT a U.S. citizen or U.S. LPR</t>
  </si>
  <si>
    <t xml:space="preserve">Même réponse dans les deux candidatures.</t>
  </si>
  <si>
    <t xml:space="preserve">Number of children</t>
  </si>
  <si>
    <t xml:space="preserve">Nombre d'enfants</t>
  </si>
  <si>
    <t xml:space="preserve">1</t>
  </si>
  <si>
    <t xml:space="preserve">Tous les enfants célibataires de moins de 21 ans (biologiques, adoptés, beaux-enfants) — identique dans les deux candidatures.</t>
  </si>
  <si>
    <t xml:space="preserve">D. PASSEPORT (obligatoire pour le demandeur principal dès DV-2027)</t>
  </si>
  <si>
    <t xml:space="preserve">Passport number</t>
  </si>
  <si>
    <t xml:space="preserve">Passeport — numéro</t>
  </si>
  <si>
    <t xml:space="preserve">AB1234567</t>
  </si>
  <si>
    <t xml:space="preserve">Numéro de série exactement comme imprimé.</t>
  </si>
  <si>
    <t xml:space="preserve">Passport issuing country</t>
  </si>
  <si>
    <t xml:space="preserve">Passeport — pays de délivrance</t>
  </si>
  <si>
    <t xml:space="preserve">Passport expiration date</t>
  </si>
  <si>
    <t xml:space="preserve">Passeport — date d'expiration</t>
  </si>
  <si>
    <t xml:space="preserve">15/06/2031</t>
  </si>
  <si>
    <t xml:space="preserve">Doit être valide et non expiré.</t>
  </si>
  <si>
    <t xml:space="preserve">Auto-check: passport validity</t>
  </si>
  <si>
    <t xml:space="preserve">Contrôle auto — validité du passeport</t>
  </si>
  <si>
    <t xml:space="preserve">Passport scan file (JPEG)</t>
  </si>
  <si>
    <t xml:space="preserve">Passeport — fichier scan (JPEG)</t>
  </si>
  <si>
    <t xml:space="preserve">passeport_epoux.jpg</t>
  </si>
  <si>
    <t xml:space="preserve">Scan JPEG de la page biographique ET de la page de signature.</t>
  </si>
  <si>
    <t xml:space="preserve">E. PHOTO DU DEMANDEUR PRINCIPAL</t>
  </si>
  <si>
    <t xml:space="preserve">Photo file name</t>
  </si>
  <si>
    <t xml:space="preserve">Photo — nom du fichier</t>
  </si>
  <si>
    <t xml:space="preserve">epoux_600x600.jpg</t>
  </si>
  <si>
    <t xml:space="preserve">JPEG, couleur, fond clair uni, de face, sans lunettes ni couvre-chef, sans filtre ni retouche, pas de selfie. Faire faire la photo par un professionnel connaissant le format DV.</t>
  </si>
  <si>
    <t xml:space="preserve">Photo dimensions (px)</t>
  </si>
  <si>
    <t xml:space="preserve">Photo — dimensions (px)</t>
  </si>
  <si>
    <t xml:space="preserve">600x600</t>
  </si>
  <si>
    <t xml:space="preserve">Saisir exactement 600x600 (carré).</t>
  </si>
  <si>
    <t xml:space="preserve">Photo size (KB)</t>
  </si>
  <si>
    <t xml:space="preserve">Photo — poids (Ko)</t>
  </si>
  <si>
    <t xml:space="preserve">180</t>
  </si>
  <si>
    <t xml:space="preserve">Maximum 240 Ko.</t>
  </si>
  <si>
    <t xml:space="preserve">Photo date taken</t>
  </si>
  <si>
    <t xml:space="preserve">Photo — date de prise de vue</t>
  </si>
  <si>
    <t xml:space="preserve">01/10/2026</t>
  </si>
  <si>
    <t xml:space="preserve">Prise de vue de moins de 6 mois avant l'inscription (contrôle ≈ 183 jours par rapport à aujourd'hui).</t>
  </si>
  <si>
    <t xml:space="preserve">Auto-check: photo</t>
  </si>
  <si>
    <t xml:space="preserve">Contrôle auto — photo</t>
  </si>
  <si>
    <t xml:space="preserve">F. CONJOINT DÉCLARÉ — repris automatiquement de l'autre onglet principal</t>
  </si>
  <si>
    <t xml:space="preserve">Spouse — Family Name</t>
  </si>
  <si>
    <t xml:space="preserve">Conjoint — nom</t>
  </si>
  <si>
    <t xml:space="preserve">Auto</t>
  </si>
  <si>
    <t xml:space="preserve">Spouse — First Name</t>
  </si>
  <si>
    <t xml:space="preserve">Conjoint — prénom</t>
  </si>
  <si>
    <t xml:space="preserve">Spouse — Middle Name</t>
  </si>
  <si>
    <t xml:space="preserve">Conjoint — autre(s) prénom(s)</t>
  </si>
  <si>
    <t xml:space="preserve">Spouse — Gender</t>
  </si>
  <si>
    <t xml:space="preserve">Conjoint — genre</t>
  </si>
  <si>
    <t xml:space="preserve">Spouse — Birth date</t>
  </si>
  <si>
    <t xml:space="preserve">Conjoint — date de naissance</t>
  </si>
  <si>
    <t xml:space="preserve">Spouse — City of birth</t>
  </si>
  <si>
    <t xml:space="preserve">Conjoint — ville de naissance</t>
  </si>
  <si>
    <t xml:space="preserve">Spouse — Country of birth</t>
  </si>
  <si>
    <t xml:space="preserve">Conjoint — pays de naissance</t>
  </si>
  <si>
    <t xml:space="preserve">Spouse — Photo file</t>
  </si>
  <si>
    <t xml:space="preserve">Conjoint — photo (fichier)</t>
  </si>
  <si>
    <t xml:space="preserve">G. ENFANT DÉCLARÉ — repris automatiquement de l'onglet Enfant</t>
  </si>
  <si>
    <t xml:space="preserve">Child — Family Name</t>
  </si>
  <si>
    <t xml:space="preserve">Enfant — nom</t>
  </si>
  <si>
    <t xml:space="preserve">Child — First Name</t>
  </si>
  <si>
    <t xml:space="preserve">Enfant — prénom</t>
  </si>
  <si>
    <t xml:space="preserve">Child — Middle Name</t>
  </si>
  <si>
    <t xml:space="preserve">Enfant — autre(s) prénom(s)</t>
  </si>
  <si>
    <t xml:space="preserve">Child — Gender</t>
  </si>
  <si>
    <t xml:space="preserve">Enfant — genre</t>
  </si>
  <si>
    <t xml:space="preserve">Child — Birth date</t>
  </si>
  <si>
    <t xml:space="preserve">Enfant — date de naissance</t>
  </si>
  <si>
    <t xml:space="preserve">Child — City of birth</t>
  </si>
  <si>
    <t xml:space="preserve">Enfant — ville de naissance</t>
  </si>
  <si>
    <t xml:space="preserve">Child — Country of birth</t>
  </si>
  <si>
    <t xml:space="preserve">Enfant — pays de naissance</t>
  </si>
  <si>
    <t xml:space="preserve">Child — Photo file</t>
  </si>
  <si>
    <t xml:space="preserve">Enfant — photo (fichier)</t>
  </si>
  <si>
    <t xml:space="preserve">Candidature 2 — Demandeur principal : ÉPOUSE</t>
  </si>
  <si>
    <t xml:space="preserve">À renseigner d'après son acte de naissance (non précisé dans votre demande).</t>
  </si>
  <si>
    <t xml:space="preserve">Son pays de naissance si éligible. À défaut, le principe de chargeability permet parfois de retenir le pays de naissance du conjoint : à confirmer dans les instructions officielles de la session.</t>
  </si>
  <si>
    <t xml:space="preserve">Elle est principale sur la candidature 2 : elle doit remplir seule la condition (diplôme de fin d'études secondaires, ou 2 ans d'expérience sur les 5 dernières années dans un métier éligible O*NET).</t>
  </si>
  <si>
    <t xml:space="preserve">Enfant (fils) — déclaré dans les DEUX candidatures</t>
  </si>
  <si>
    <t xml:space="preserve">A. IDENTITÉ — exactement comme sur l'acte de naissance</t>
  </si>
  <si>
    <t xml:space="preserve">Comme sur l'acte de naissance (et le passeport s'il en a un).</t>
  </si>
  <si>
    <t xml:space="preserve">Prénom</t>
  </si>
  <si>
    <t xml:space="preserve">Komla</t>
  </si>
  <si>
    <t xml:space="preserve">Fils : Male (menu déroulant).</t>
  </si>
  <si>
    <t xml:space="preserve">12</t>
  </si>
  <si>
    <t xml:space="preserve">8</t>
  </si>
  <si>
    <t xml:space="preserve">2025</t>
  </si>
  <si>
    <t xml:space="preserve">D'après l'acte de naissance.</t>
  </si>
  <si>
    <t xml:space="preserve">Relationship to principal</t>
  </si>
  <si>
    <t xml:space="preserve">Lien avec les parents</t>
  </si>
  <si>
    <t xml:space="preserve">Biological child</t>
  </si>
  <si>
    <t xml:space="preserve">Même enfant déclaré à l'identique dans les DEUX candidatures.</t>
  </si>
  <si>
    <t xml:space="preserve">B. ÉTAT CIVIL &amp; ÂGE</t>
  </si>
  <si>
    <t xml:space="preserve">Child marital status</t>
  </si>
  <si>
    <t xml:space="preserve">Statut matrimonial de l'enfant</t>
  </si>
  <si>
    <t xml:space="preserve">Unmarried</t>
  </si>
  <si>
    <t xml:space="preserve">Doit être célibataire et avoir moins de 21 ans à la date de l'inscription.</t>
  </si>
  <si>
    <t xml:space="preserve">Planned entry date</t>
  </si>
  <si>
    <t xml:space="preserve">Date prévue de l'inscription</t>
  </si>
  <si>
    <t xml:space="preserve">05/11/2026</t>
  </si>
  <si>
    <t xml:space="preserve">À saisir dès que la date est connue : sert au contrôle d'âge ci-dessous.</t>
  </si>
  <si>
    <t xml:space="preserve">Auto-check: age under 21</t>
  </si>
  <si>
    <t xml:space="preserve">Contrôle auto — moins de 21 ans</t>
  </si>
  <si>
    <t xml:space="preserve">C. PASSEPORT (facultatif : l'exigence d'inscription porte sur le demandeur principal)</t>
  </si>
  <si>
    <t xml:space="preserve">AB7654321</t>
  </si>
  <si>
    <t xml:space="preserve">15/06/2030</t>
  </si>
  <si>
    <t xml:space="preserve">D. PHOTO DE L'ENFANT</t>
  </si>
  <si>
    <t xml:space="preserve">Checklist Documents &amp; Validation — DV Lottery (2 candidatures séparées)</t>
  </si>
  <si>
    <t xml:space="preserve">Ce classeur est un outil de préparation, pas une source officielle : les dates, la liste des pays éligibles et les instructions de la session (travel.state.gov, dvprogram.state.gov) priment. Menu « Statut » : À faire / En cours / OK / N/A. Case jaune = à modifier.</t>
  </si>
  <si>
    <t xml:space="preserve">Date repère de validité des passeports</t>
  </si>
  <si>
    <t xml:space="preserve">Hypothèse de travail : 30/09/2027 = fin de l'année fiscale DV-2027, date limite légale de délivrance des visas de cette session. Marge de sécurité recommandée, PAS une exigence officielle ; modifiable.</t>
  </si>
  <si>
    <t xml:space="preserve">Complétude — onglet Époux</t>
  </si>
  <si>
    <t xml:space="preserve">Complétude — onglet Épouse</t>
  </si>
  <si>
    <t xml:space="preserve">Complétude — onglet Enfant</t>
  </si>
  <si>
    <t xml:space="preserve">Avancement de la checklist (éléments « OK »)</t>
  </si>
  <si>
    <t xml:space="preserve">N°</t>
  </si>
  <si>
    <t xml:space="preserve">Phase</t>
  </si>
  <si>
    <t xml:space="preserve">Élément à contrôler</t>
  </si>
  <si>
    <t xml:space="preserve">Concerne</t>
  </si>
  <si>
    <t xml:space="preserve">Détail / règle</t>
  </si>
  <si>
    <t xml:space="preserve">Statut</t>
  </si>
  <si>
    <t xml:space="preserve">Preuve / date</t>
  </si>
  <si>
    <t xml:space="preserve">Remarques</t>
  </si>
  <si>
    <t xml:space="preserve">PHASE 1 — AVANT L'OUVERTURE</t>
  </si>
  <si>
    <t xml:space="preserve">Phase 1</t>
  </si>
  <si>
    <t xml:space="preserve">Annonce officielle lue : dates, durée (30 jours minimum selon l'ordonnance en cours), liste des pays éligibles, instructions</t>
  </si>
  <si>
    <t xml:space="preserve">Les deux</t>
  </si>
  <si>
    <t xml:space="preserve">Sources : travel.state.gov et dvprogram.state.gov uniquement. Ne pas se fier aux dates des sites tiers.</t>
  </si>
  <si>
    <t xml:space="preserve">À faire</t>
  </si>
  <si>
    <t xml:space="preserve">2</t>
  </si>
  <si>
    <t xml:space="preserve">Togo présent dans la liste officielle des pays éligibles de la session</t>
  </si>
  <si>
    <t xml:space="preserve">À revérifier à chaque session : la liste est publiée avec les instructions.</t>
  </si>
  <si>
    <t xml:space="preserve">Restrictions de visa ou de voyage en vigueur vérifiées pour les ressortissants du Togo (au stade visa)</t>
  </si>
  <si>
    <t xml:space="preserve">Les politiques ont changé plusieurs fois en 2025-2026 : revérifier au moment de l'inscription et après sélection.</t>
  </si>
  <si>
    <t xml:space="preserve">4</t>
  </si>
  <si>
    <t xml:space="preserve">Passeport de l'époux valide et non expiré, au-delà de la date repère</t>
  </si>
  <si>
    <t xml:space="preserve">Époux</t>
  </si>
  <si>
    <t xml:space="preserve">Voir D4 ci-dessus et le contrôle auto de l'onglet Époux.</t>
  </si>
  <si>
    <t xml:space="preserve">5</t>
  </si>
  <si>
    <t xml:space="preserve">Passeport de l'épouse valide et non expiré, au-delà de la date repère</t>
  </si>
  <si>
    <t xml:space="preserve">Épouse</t>
  </si>
  <si>
    <t xml:space="preserve">Elle est principale sur la candidature 2 : son passeport est obligatoire.</t>
  </si>
  <si>
    <t xml:space="preserve">6</t>
  </si>
  <si>
    <t xml:space="preserve">Scan JPEG de la page biographique et de la page de signature — époux</t>
  </si>
  <si>
    <t xml:space="preserve">Lisible, sans reflet, sans retouche.</t>
  </si>
  <si>
    <t xml:space="preserve">Scan JPEG de la page biographique et de la page de signature — épouse</t>
  </si>
  <si>
    <t xml:space="preserve">Idem.</t>
  </si>
  <si>
    <t xml:space="preserve">Noms et prénoms saisis = passeport (ordre, accents, tirets) — époux et épouse</t>
  </si>
  <si>
    <t xml:space="preserve">Comparer caractère par caractère.</t>
  </si>
  <si>
    <t xml:space="preserve">9</t>
  </si>
  <si>
    <t xml:space="preserve">Condition d'études ou d'expérience remplie par l'époux (diplôme de fin d'études secondaires ou équivalent)</t>
  </si>
  <si>
    <t xml:space="preserve">Conserver le diplôme/relevé : il sera exigé si vous êtes sélectionné.</t>
  </si>
  <si>
    <t xml:space="preserve">10</t>
  </si>
  <si>
    <t xml:space="preserve">Condition d'études ou d'expérience remplie par l'épouse, seule</t>
  </si>
  <si>
    <t xml:space="preserve">Indispensable pour que la candidature 2 soit exploitable : diplôme de fin d'études secondaires, ou 2 ans d'expérience sur les 5 dernières années dans un métier éligible (O*NET).</t>
  </si>
  <si>
    <t xml:space="preserve">11</t>
  </si>
  <si>
    <t xml:space="preserve">Pays de naissance et pays d'éligibilité confirmés par les actes de naissance (3 personnes)</t>
  </si>
  <si>
    <t xml:space="preserve">Les trois</t>
  </si>
  <si>
    <t xml:space="preserve">Pays d'éligibilité de l'épouse à déterminer selon les règles de chargeability.</t>
  </si>
  <si>
    <t xml:space="preserve">Dates de naissance identiques sur actes, passeports et formulaires (3 personnes)</t>
  </si>
  <si>
    <t xml:space="preserve">Une incohérence se paie au consulat.</t>
  </si>
  <si>
    <t xml:space="preserve">13</t>
  </si>
  <si>
    <t xml:space="preserve">Photos conformes préparées : 600x600 px, JPEG, ≤240 Ko, couleur, &lt;6 mois, sans retouche/filtre (époux, épouse, fils)</t>
  </si>
  <si>
    <t xml:space="preserve">Contrôles automatiques dans chaque onglet.</t>
  </si>
  <si>
    <t xml:space="preserve">14</t>
  </si>
  <si>
    <t xml:space="preserve">Adresse e-mail personnelle sécurisée (mot de passe fort + 2FA) pour chaque candidature</t>
  </si>
  <si>
    <t xml:space="preserve">Jamais d'adresse fournie par un tiers ou un cybercafé.</t>
  </si>
  <si>
    <t xml:space="preserve">15</t>
  </si>
  <si>
    <t xml:space="preserve">Famille déclarée identique dans les deux candidatures : époux, épouse, fils (tous les enfants éligibles)</t>
  </si>
  <si>
    <t xml:space="preserve">Voir l'onglet Comparatif : section « Contrôles de cohérence ».</t>
  </si>
  <si>
    <t xml:space="preserve">16</t>
  </si>
  <si>
    <t xml:space="preserve">Une seule candidature PRINCIPALE par personne (aucun doublon)</t>
  </si>
  <si>
    <t xml:space="preserve">Les doublons disqualifient toutes les entrées de la personne.</t>
  </si>
  <si>
    <t xml:space="preserve">17</t>
  </si>
  <si>
    <t xml:space="preserve">Moyen de paiement prêt pour 1 $ par candidature (2 paiements)</t>
  </si>
  <si>
    <t xml:space="preserve">Frais non remboursables, payés en ligne lors de la soumission.</t>
  </si>
  <si>
    <t xml:space="preserve">PHASE 2 — PENDANT L'INSCRIPTION</t>
  </si>
  <si>
    <t xml:space="preserve">18</t>
  </si>
  <si>
    <t xml:space="preserve">Phase 2</t>
  </si>
  <si>
    <t xml:space="preserve">Inscription uniquement sur dvprogram.state.gov</t>
  </si>
  <si>
    <t xml:space="preserve">Aucun intermédiaire, aucun site « officiel » alternatif.</t>
  </si>
  <si>
    <t xml:space="preserve">19</t>
  </si>
  <si>
    <t xml:space="preserve">Relecture complète de chaque champ avant de valider (comparer à cet onglet)</t>
  </si>
  <si>
    <t xml:space="preserve">Après soumission, les données ne se corrigent pas.</t>
  </si>
  <si>
    <t xml:space="preserve">20</t>
  </si>
  <si>
    <t xml:space="preserve">Candidature 1 soumise (époux principal) — numéro de confirmation noté</t>
  </si>
  <si>
    <t xml:space="preserve">Notez-le dans l'onglet Comparatif.</t>
  </si>
  <si>
    <t xml:space="preserve">21</t>
  </si>
  <si>
    <t xml:space="preserve">Candidature 2 soumise (épouse principale) — numéro de confirmation noté</t>
  </si>
  <si>
    <t xml:space="preserve">22</t>
  </si>
  <si>
    <t xml:space="preserve">Reçus des paiements de 1 $ archivés (2)</t>
  </si>
  <si>
    <t xml:space="preserve">PDF ou capture d'écran.</t>
  </si>
  <si>
    <t xml:space="preserve">23</t>
  </si>
  <si>
    <t xml:space="preserve">Pages de confirmation enregistrées en PDF + numéros de confirmation et dates de naissance sauvegardés en 2 endroits hors ligne</t>
  </si>
  <si>
    <t xml:space="preserve">Indispensable pour consulter le résultat.</t>
  </si>
  <si>
    <t xml:space="preserve">24</t>
  </si>
  <si>
    <t xml:space="preserve">Soumission faite tôt dans la période d'inscription, pas le dernier jour</t>
  </si>
  <si>
    <t xml:space="preserve">Évite les saturations de dernière minute.</t>
  </si>
  <si>
    <t xml:space="preserve">PHASE 3 — APRÈS LES RÉSULTATS</t>
  </si>
  <si>
    <t xml:space="preserve">25</t>
  </si>
  <si>
    <t xml:space="preserve">Phase 3</t>
  </si>
  <si>
    <t xml:space="preserve">Résultat consulté uniquement via Entrant Status Check sur dvprogram.state.gov</t>
  </si>
  <si>
    <t xml:space="preserve">Aucun courriel officiel n'annonce une victoire ; ignorer tout message en ce sens.</t>
  </si>
  <si>
    <t xml:space="preserve">26</t>
  </si>
  <si>
    <t xml:space="preserve">Si sélectionné : DS-260 complété pour toute la famille avec les mêmes données que l'inscription</t>
  </si>
  <si>
    <t xml:space="preserve">Fixer un calendrier serré : la date limite légale est le 30 septembre de l'année fiscale.</t>
  </si>
  <si>
    <t xml:space="preserve">27</t>
  </si>
  <si>
    <t xml:space="preserve">Documents civils réunis : actes de naissance (3), acte de mariage, passeports, diplôme, extraits de casier judiciaire, photos, examen médical</t>
  </si>
  <si>
    <t xml:space="preserve">Liste exacte à confirmer sur le site du consulat compétent.</t>
  </si>
  <si>
    <t xml:space="preserve">28</t>
  </si>
  <si>
    <t xml:space="preserve">Si les deux candidatures sont sélectionnées : décider avec le consulat de la procédure unique à mener pour la famille</t>
  </si>
  <si>
    <t xml:space="preserve">Demander confirmation écrite de la marche à suivre avant d'engager des frais.</t>
  </si>
  <si>
    <t xml:space="preserve">Comparatif des 2 candidatures — stratégie « double chance » légale</t>
  </si>
  <si>
    <t xml:space="preserve">Tout est calculé à partir des onglets Époux, Épouse et Enfant : ne rien saisir dans les cellules grises/vertes. Cases jaunes = suivi à remplir au fil de l'eau. Rappel : chaque personne n'a qu'UNE candidature principale ; chaque candidature déclare toute la famille. Deux candidatures doublent les chances de la famille, pas celles de chaque personne.</t>
  </si>
  <si>
    <t xml:space="preserve">Bloc</t>
  </si>
  <si>
    <t xml:space="preserve">Élément</t>
  </si>
  <si>
    <t xml:space="preserve">Candidature 1 — Époux principal (+ Épouse + Fils)</t>
  </si>
  <si>
    <t xml:space="preserve">Candidature 2 — Épouse principale (+ Époux + Fils)</t>
  </si>
  <si>
    <t xml:space="preserve">Remarque</t>
  </si>
  <si>
    <t xml:space="preserve">1. SYNTHÈSE DES DEUX CANDIDATURES</t>
  </si>
  <si>
    <t xml:space="preserve">Composition</t>
  </si>
  <si>
    <t xml:space="preserve">Demandeur principal</t>
  </si>
  <si>
    <t xml:space="preserve">Deux personnes différentes, une candidature principale chacune.</t>
  </si>
  <si>
    <t xml:space="preserve">Conjoint déclaré</t>
  </si>
  <si>
    <t xml:space="preserve">Chaque principal déclare l'autre.</t>
  </si>
  <si>
    <t xml:space="preserve">Enfant déclaré (fils)</t>
  </si>
  <si>
    <t xml:space="preserve">Le même enfant dans les deux candidatures.</t>
  </si>
  <si>
    <t xml:space="preserve">Nombre d'enfants déclaré</t>
  </si>
  <si>
    <t xml:space="preserve">Doit être identique.</t>
  </si>
  <si>
    <t xml:space="preserve">Éligibilité</t>
  </si>
  <si>
    <t xml:space="preserve">Pays d'éligibilité utilisé</t>
  </si>
  <si>
    <t xml:space="preserve">Vérifier dans la liste officielle de la session.</t>
  </si>
  <si>
    <t xml:space="preserve">Contact</t>
  </si>
  <si>
    <t xml:space="preserve">E-mail du demandeur principal</t>
  </si>
  <si>
    <t xml:space="preserve">Une adresse par candidature recommandée.</t>
  </si>
  <si>
    <t xml:space="preserve">Passeport</t>
  </si>
  <si>
    <t xml:space="preserve">Date d'expiration du passeport (principal)</t>
  </si>
  <si>
    <t xml:space="preserve">Contrôle validité du passeport</t>
  </si>
  <si>
    <t xml:space="preserve">Par rapport à la date repère de l'onglet Checklist.</t>
  </si>
  <si>
    <t xml:space="preserve">Avancement</t>
  </si>
  <si>
    <t xml:space="preserve">Complétude — données du principal</t>
  </si>
  <si>
    <t xml:space="preserve">Part des champs obligatoires remplis.</t>
  </si>
  <si>
    <t xml:space="preserve">Complétude — données du conjoint déclaré</t>
  </si>
  <si>
    <t xml:space="preserve">Complétude — données de l'enfant</t>
  </si>
  <si>
    <t xml:space="preserve">2. SUIVI DE L'INSCRIPTION (à remplir)</t>
  </si>
  <si>
    <t xml:space="preserve">Soumission</t>
  </si>
  <si>
    <t xml:space="preserve">Date et heure de soumission</t>
  </si>
  <si>
    <t xml:space="preserve">Numéro de confirmation</t>
  </si>
  <si>
    <t xml:space="preserve">À conserver hors ligne, avec la date de naissance du principal.</t>
  </si>
  <si>
    <t xml:space="preserve">Frais de 1 $ payés ?</t>
  </si>
  <si>
    <t xml:space="preserve">Reçu archivé.</t>
  </si>
  <si>
    <t xml:space="preserve">PDF de confirmation archivé ?</t>
  </si>
  <si>
    <t xml:space="preserve">Résultat</t>
  </si>
  <si>
    <t xml:space="preserve">Résultat (Entrant Status Check)</t>
  </si>
  <si>
    <t xml:space="preserve">Pas encore vérifié</t>
  </si>
  <si>
    <t xml:space="preserve">Uniquement via dvprogram.state.gov.</t>
  </si>
  <si>
    <t xml:space="preserve">3. CONTRÔLES DE COHÉRENCE ENTRE LES DEUX CANDIDATURES</t>
  </si>
  <si>
    <t xml:space="preserve">Contrôle</t>
  </si>
  <si>
    <t xml:space="preserve">Deux demandeurs principaux distincts</t>
  </si>
  <si>
    <t xml:space="preserve">Évite un doublon de la même personne.</t>
  </si>
  <si>
    <t xml:space="preserve">Même statut matrimonial dans les deux</t>
  </si>
  <si>
    <t xml:space="preserve">Même nombre d'enfants dans les deux</t>
  </si>
  <si>
    <t xml:space="preserve">Pays d'éligibilité renseigné pour les 2 principaux</t>
  </si>
  <si>
    <t xml:space="preserve">Passeports des 2 principaux valides au-delà de la date repère</t>
  </si>
  <si>
    <t xml:space="preserve">Photos conformes (époux, épouse, fils)</t>
  </si>
  <si>
    <t xml:space="preserve">4. DONNÉES À SAISIR — COPIER-COLLER (reprises des onglets)</t>
  </si>
  <si>
    <t xml:space="preserve">Principal</t>
  </si>
  <si>
    <t xml:space="preserve">Family Name</t>
  </si>
  <si>
    <t xml:space="preserve">Gender</t>
  </si>
  <si>
    <t xml:space="preserve">Birth date (JJ/MM/AAAA)</t>
  </si>
  <si>
    <t xml:space="preserve">City of birth</t>
  </si>
  <si>
    <t xml:space="preserve">Country of birth</t>
  </si>
  <si>
    <t xml:space="preserve">Country of eligibility</t>
  </si>
  <si>
    <t xml:space="preserve">Address line 1</t>
  </si>
  <si>
    <t xml:space="preserve">Address line 2</t>
  </si>
  <si>
    <t xml:space="preserve">City</t>
  </si>
  <si>
    <t xml:space="preserve">District / Region</t>
  </si>
  <si>
    <t xml:space="preserve">Postal code</t>
  </si>
  <si>
    <t xml:space="preserve">Country (mailing)</t>
  </si>
  <si>
    <t xml:space="preserve">Country of residence</t>
  </si>
  <si>
    <t xml:space="preserve">Phone</t>
  </si>
  <si>
    <t xml:space="preserve">E-mail</t>
  </si>
  <si>
    <t xml:space="preserve">Education</t>
  </si>
  <si>
    <t xml:space="preserve">Passport country</t>
  </si>
  <si>
    <t xml:space="preserve">Passport expiry</t>
  </si>
  <si>
    <t xml:space="preserve">Photo file</t>
  </si>
  <si>
    <t xml:space="preserve">Passport scan file</t>
  </si>
  <si>
    <t xml:space="preserve">Conjoint</t>
  </si>
  <si>
    <t xml:space="preserve">Birth date</t>
  </si>
  <si>
    <t xml:space="preserve">Enfant</t>
  </si>
  <si>
    <t xml:space="preserve">Niveau d'études (liste du formulaire)</t>
  </si>
  <si>
    <t xml:space="preserve">Lien avec l'enfant</t>
  </si>
  <si>
    <t xml:space="preserve">Primary school only</t>
  </si>
  <si>
    <t xml:space="preserve">Some high school, no diploma</t>
  </si>
  <si>
    <t xml:space="preserve">Adopted child</t>
  </si>
  <si>
    <t xml:space="preserve">Female</t>
  </si>
  <si>
    <t xml:space="preserve">Sélectionné</t>
  </si>
  <si>
    <t xml:space="preserve">High school diploma</t>
  </si>
  <si>
    <t xml:space="preserve">Married and my spouse IS a U.S. citizen or U.S. LPR</t>
  </si>
  <si>
    <t xml:space="preserve">Stepchild</t>
  </si>
  <si>
    <t xml:space="preserve">Non sélectionné</t>
  </si>
  <si>
    <t xml:space="preserve">Vocational school</t>
  </si>
  <si>
    <t xml:space="preserve">Divorced</t>
  </si>
  <si>
    <t xml:space="preserve">Some university courses</t>
  </si>
  <si>
    <t xml:space="preserve">Widowed</t>
  </si>
  <si>
    <t xml:space="preserve">Legally Separated</t>
  </si>
  <si>
    <t xml:space="preserve">Some graduate level courses</t>
  </si>
  <si>
    <t xml:space="preserve">Master's degree</t>
  </si>
  <si>
    <t xml:space="preserve">Some doctoral level courses</t>
  </si>
  <si>
    <t xml:space="preserve">Doctorate degree</t>
  </si>
  <si>
    <t xml:space="preserve">Listes servant aux menus déroulants. Libellés en anglais = ceux du formulaire officiel (à revérifier à l'ouverture de la session).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</si>
</sst>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0%"/>
    <numFmt numFmtId="166" formatCode="0"/>
    <numFmt numFmtId="167" formatCode="dd/mm/yyyy"/>
    <numFmt numFmtId="168" formatCode="dd/mm/yyyy\ hh:mm"/>
  </numFmts>
  <fonts count="1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i val="true"/>
      <sz val="9"/>
      <name val="Arial"/>
      <family val="0"/>
      <charset val="1"/>
    </font>
    <font>
      <b val="true"/>
      <sz val="10"/>
      <name val="Arial"/>
      <family val="0"/>
      <charset val="1"/>
    </font>
    <font>
      <sz val="11"/>
      <color theme="1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i val="true"/>
      <sz val="10"/>
      <color rgb="FF7F7F7F"/>
      <name val="Arial"/>
      <family val="0"/>
      <charset val="1"/>
    </font>
    <font>
      <sz val="9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sz val="10"/>
      <color rgb="FF008000"/>
      <name val="Arial"/>
      <family val="0"/>
      <charset val="1"/>
    </font>
    <font>
      <b val="true"/>
      <sz val="10"/>
      <color rgb="FF008000"/>
      <name val="Arial"/>
      <family val="0"/>
      <charset val="1"/>
    </font>
    <font>
      <i val="true"/>
      <sz val="10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EDEDED"/>
        <bgColor rgb="FFD9E1F2"/>
      </patternFill>
    </fill>
    <fill>
      <patternFill patternType="solid">
        <fgColor rgb="FF1F3864"/>
        <bgColor rgb="FF333333"/>
      </patternFill>
    </fill>
    <fill>
      <patternFill patternType="solid">
        <fgColor rgb="FFD9E1F2"/>
        <bgColor rgb="FFEDEDED"/>
      </patternFill>
    </fill>
    <fill>
      <patternFill patternType="solid">
        <fgColor rgb="FFFFF59D"/>
        <bgColor rgb="FFEDEDED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6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9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2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12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7" fontId="9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3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4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7" fontId="12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5" fontId="1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4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7" fontId="14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14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8" fontId="9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3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7F7F7F"/>
      <rgbColor rgb="FF9999FF"/>
      <rgbColor rgb="FF993366"/>
      <rgbColor rgb="FFEDEDED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59D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G6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6" topLeftCell="A7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30"/>
    <col collapsed="false" customWidth="true" hidden="false" outlineLevel="0" max="3" min="3" style="0" width="36"/>
    <col collapsed="false" customWidth="true" hidden="false" outlineLevel="0" max="4" min="4" style="0" width="26"/>
    <col collapsed="false" customWidth="true" hidden="false" outlineLevel="0" max="5" min="5" style="0" width="12"/>
    <col collapsed="false" customWidth="true" hidden="false" outlineLevel="0" max="6" min="6" style="0" width="62"/>
    <col collapsed="false" customWidth="true" hidden="false" outlineLevel="0" max="7" min="7" style="0" width="11"/>
  </cols>
  <sheetData>
    <row r="1" customFormat="false" ht="17.3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</row>
    <row r="2" customFormat="false" ht="37.5" hidden="false" customHeight="true" outlineLevel="0" collapsed="false">
      <c r="A2" s="2" t="s">
        <v>1</v>
      </c>
      <c r="B2" s="2"/>
      <c r="C2" s="2"/>
      <c r="D2" s="2"/>
      <c r="E2" s="2"/>
      <c r="F2" s="2"/>
      <c r="G2" s="2"/>
    </row>
    <row r="3" customFormat="false" ht="15" hidden="false" customHeight="false" outlineLevel="0" collapsed="false">
      <c r="A3" s="3" t="s">
        <v>2</v>
      </c>
      <c r="B3" s="4"/>
      <c r="C3" s="5" t="n">
        <f aca="false">IFERROR(SUMPRODUCT((E7:E62="Oui")*(C7:C62&lt;&gt;""))/COUNTIF(E7:E62,"Oui"),0)</f>
        <v>0.310344827586207</v>
      </c>
      <c r="D3" s="4"/>
      <c r="E3" s="4"/>
      <c r="F3" s="4"/>
      <c r="G3" s="4"/>
    </row>
    <row r="4" customFormat="false" ht="15" hidden="false" customHeight="false" outlineLevel="0" collapsed="false">
      <c r="A4" s="3" t="s">
        <v>3</v>
      </c>
      <c r="B4" s="4"/>
      <c r="C4" s="5" t="n">
        <f aca="false">IFERROR(SUMPRODUCT((E7:E62="Oui")*(G7:G62="Oui"))/COUNTIF(E7:E62,"Oui"),0)</f>
        <v>0</v>
      </c>
      <c r="D4" s="4"/>
      <c r="E4" s="4"/>
      <c r="F4" s="4"/>
      <c r="G4" s="4"/>
    </row>
    <row r="5" customFormat="false" ht="15" hidden="false" customHeight="false" outlineLevel="0" collapsed="false">
      <c r="A5" s="4"/>
      <c r="B5" s="4"/>
      <c r="C5" s="4"/>
      <c r="D5" s="4"/>
      <c r="E5" s="4"/>
      <c r="F5" s="4"/>
      <c r="G5" s="4"/>
    </row>
    <row r="6" customFormat="false" ht="15" hidden="false" customHeight="false" outlineLevel="0" collapsed="false">
      <c r="A6" s="6" t="s">
        <v>4</v>
      </c>
      <c r="B6" s="6" t="s">
        <v>5</v>
      </c>
      <c r="C6" s="6" t="s">
        <v>6</v>
      </c>
      <c r="D6" s="6" t="s">
        <v>7</v>
      </c>
      <c r="E6" s="6" t="s">
        <v>8</v>
      </c>
      <c r="F6" s="6" t="s">
        <v>9</v>
      </c>
      <c r="G6" s="6" t="s">
        <v>10</v>
      </c>
    </row>
    <row r="7" customFormat="false" ht="15" hidden="false" customHeight="false" outlineLevel="0" collapsed="false">
      <c r="A7" s="7" t="s">
        <v>11</v>
      </c>
      <c r="B7" s="7"/>
      <c r="C7" s="7"/>
      <c r="D7" s="7"/>
      <c r="E7" s="7"/>
      <c r="F7" s="7"/>
      <c r="G7" s="7"/>
    </row>
    <row r="8" customFormat="false" ht="32.8" hidden="false" customHeight="false" outlineLevel="0" collapsed="false">
      <c r="A8" s="8" t="s">
        <v>12</v>
      </c>
      <c r="B8" s="8" t="s">
        <v>13</v>
      </c>
      <c r="C8" s="9"/>
      <c r="D8" s="10" t="s">
        <v>14</v>
      </c>
      <c r="E8" s="8" t="s">
        <v>15</v>
      </c>
      <c r="F8" s="11" t="s">
        <v>16</v>
      </c>
      <c r="G8" s="8"/>
    </row>
    <row r="9" customFormat="false" ht="15" hidden="false" customHeight="false" outlineLevel="0" collapsed="false">
      <c r="A9" s="8" t="s">
        <v>17</v>
      </c>
      <c r="B9" s="8" t="s">
        <v>18</v>
      </c>
      <c r="C9" s="9"/>
      <c r="D9" s="10" t="s">
        <v>19</v>
      </c>
      <c r="E9" s="8" t="s">
        <v>15</v>
      </c>
      <c r="F9" s="11" t="s">
        <v>20</v>
      </c>
      <c r="G9" s="8"/>
    </row>
    <row r="10" customFormat="false" ht="15" hidden="false" customHeight="false" outlineLevel="0" collapsed="false">
      <c r="A10" s="8" t="s">
        <v>21</v>
      </c>
      <c r="B10" s="8" t="s">
        <v>22</v>
      </c>
      <c r="C10" s="9"/>
      <c r="D10" s="10" t="s">
        <v>23</v>
      </c>
      <c r="E10" s="8" t="s">
        <v>24</v>
      </c>
      <c r="F10" s="11" t="s">
        <v>25</v>
      </c>
      <c r="G10" s="8"/>
    </row>
    <row r="11" customFormat="false" ht="15" hidden="false" customHeight="false" outlineLevel="0" collapsed="false">
      <c r="A11" s="8" t="s">
        <v>26</v>
      </c>
      <c r="B11" s="8" t="s">
        <v>27</v>
      </c>
      <c r="C11" s="9"/>
      <c r="D11" s="10" t="s">
        <v>28</v>
      </c>
      <c r="E11" s="8" t="s">
        <v>15</v>
      </c>
      <c r="F11" s="11" t="s">
        <v>29</v>
      </c>
      <c r="G11" s="8"/>
    </row>
    <row r="12" customFormat="false" ht="15" hidden="false" customHeight="false" outlineLevel="0" collapsed="false">
      <c r="A12" s="8" t="s">
        <v>30</v>
      </c>
      <c r="B12" s="8" t="s">
        <v>31</v>
      </c>
      <c r="C12" s="12"/>
      <c r="D12" s="10" t="s">
        <v>32</v>
      </c>
      <c r="E12" s="8" t="s">
        <v>15</v>
      </c>
      <c r="F12" s="11" t="s">
        <v>33</v>
      </c>
      <c r="G12" s="8"/>
    </row>
    <row r="13" customFormat="false" ht="15" hidden="false" customHeight="false" outlineLevel="0" collapsed="false">
      <c r="A13" s="8" t="s">
        <v>34</v>
      </c>
      <c r="B13" s="8" t="s">
        <v>35</v>
      </c>
      <c r="C13" s="12"/>
      <c r="D13" s="10" t="s">
        <v>36</v>
      </c>
      <c r="E13" s="8" t="s">
        <v>15</v>
      </c>
      <c r="F13" s="11" t="s">
        <v>37</v>
      </c>
      <c r="G13" s="8"/>
    </row>
    <row r="14" customFormat="false" ht="15" hidden="false" customHeight="false" outlineLevel="0" collapsed="false">
      <c r="A14" s="8" t="s">
        <v>38</v>
      </c>
      <c r="B14" s="8" t="s">
        <v>39</v>
      </c>
      <c r="C14" s="12"/>
      <c r="D14" s="10" t="s">
        <v>40</v>
      </c>
      <c r="E14" s="8" t="s">
        <v>15</v>
      </c>
      <c r="F14" s="11" t="s">
        <v>41</v>
      </c>
      <c r="G14" s="8"/>
    </row>
    <row r="15" customFormat="false" ht="15" hidden="false" customHeight="false" outlineLevel="0" collapsed="false">
      <c r="A15" s="8" t="s">
        <v>42</v>
      </c>
      <c r="B15" s="8" t="s">
        <v>43</v>
      </c>
      <c r="C15" s="9"/>
      <c r="D15" s="10" t="s">
        <v>44</v>
      </c>
      <c r="E15" s="8" t="s">
        <v>15</v>
      </c>
      <c r="F15" s="11" t="s">
        <v>45</v>
      </c>
      <c r="G15" s="8"/>
    </row>
    <row r="16" customFormat="false" ht="15" hidden="false" customHeight="false" outlineLevel="0" collapsed="false">
      <c r="A16" s="8" t="s">
        <v>46</v>
      </c>
      <c r="B16" s="8" t="s">
        <v>47</v>
      </c>
      <c r="C16" s="13" t="s">
        <v>48</v>
      </c>
      <c r="D16" s="10" t="s">
        <v>48</v>
      </c>
      <c r="E16" s="8" t="s">
        <v>15</v>
      </c>
      <c r="F16" s="11" t="s">
        <v>49</v>
      </c>
      <c r="G16" s="8"/>
    </row>
    <row r="17" customFormat="false" ht="22.35" hidden="false" customHeight="false" outlineLevel="0" collapsed="false">
      <c r="A17" s="8" t="s">
        <v>50</v>
      </c>
      <c r="B17" s="8" t="s">
        <v>51</v>
      </c>
      <c r="C17" s="13" t="s">
        <v>48</v>
      </c>
      <c r="D17" s="10" t="s">
        <v>48</v>
      </c>
      <c r="E17" s="8" t="s">
        <v>15</v>
      </c>
      <c r="F17" s="11" t="s">
        <v>52</v>
      </c>
      <c r="G17" s="8"/>
    </row>
    <row r="18" customFormat="false" ht="15" hidden="false" customHeight="false" outlineLevel="0" collapsed="false">
      <c r="A18" s="7" t="s">
        <v>53</v>
      </c>
      <c r="B18" s="7"/>
      <c r="C18" s="7"/>
      <c r="D18" s="7"/>
      <c r="E18" s="7"/>
      <c r="F18" s="7"/>
      <c r="G18" s="7"/>
    </row>
    <row r="19" customFormat="false" ht="15" hidden="false" customHeight="false" outlineLevel="0" collapsed="false">
      <c r="A19" s="8" t="s">
        <v>54</v>
      </c>
      <c r="B19" s="8" t="s">
        <v>55</v>
      </c>
      <c r="C19" s="9"/>
      <c r="D19" s="10"/>
      <c r="E19" s="8" t="s">
        <v>24</v>
      </c>
      <c r="F19" s="11"/>
      <c r="G19" s="8"/>
    </row>
    <row r="20" customFormat="false" ht="15" hidden="false" customHeight="false" outlineLevel="0" collapsed="false">
      <c r="A20" s="8" t="s">
        <v>56</v>
      </c>
      <c r="B20" s="8" t="s">
        <v>57</v>
      </c>
      <c r="C20" s="9"/>
      <c r="D20" s="10" t="s">
        <v>58</v>
      </c>
      <c r="E20" s="8" t="s">
        <v>15</v>
      </c>
      <c r="F20" s="11"/>
      <c r="G20" s="8"/>
    </row>
    <row r="21" customFormat="false" ht="15" hidden="false" customHeight="false" outlineLevel="0" collapsed="false">
      <c r="A21" s="8" t="s">
        <v>59</v>
      </c>
      <c r="B21" s="8" t="s">
        <v>60</v>
      </c>
      <c r="C21" s="9"/>
      <c r="D21" s="10" t="s">
        <v>61</v>
      </c>
      <c r="E21" s="8" t="s">
        <v>24</v>
      </c>
      <c r="F21" s="11"/>
      <c r="G21" s="8"/>
    </row>
    <row r="22" customFormat="false" ht="15" hidden="false" customHeight="false" outlineLevel="0" collapsed="false">
      <c r="A22" s="8" t="s">
        <v>62</v>
      </c>
      <c r="B22" s="8" t="s">
        <v>63</v>
      </c>
      <c r="C22" s="13" t="s">
        <v>44</v>
      </c>
      <c r="D22" s="10" t="s">
        <v>44</v>
      </c>
      <c r="E22" s="8" t="s">
        <v>15</v>
      </c>
      <c r="F22" s="11" t="s">
        <v>64</v>
      </c>
      <c r="G22" s="8"/>
    </row>
    <row r="23" customFormat="false" ht="15" hidden="false" customHeight="false" outlineLevel="0" collapsed="false">
      <c r="A23" s="8" t="s">
        <v>65</v>
      </c>
      <c r="B23" s="8" t="s">
        <v>66</v>
      </c>
      <c r="C23" s="9"/>
      <c r="D23" s="10" t="s">
        <v>67</v>
      </c>
      <c r="E23" s="8" t="s">
        <v>15</v>
      </c>
      <c r="F23" s="11"/>
      <c r="G23" s="8"/>
    </row>
    <row r="24" customFormat="false" ht="15" hidden="false" customHeight="false" outlineLevel="0" collapsed="false">
      <c r="A24" s="8" t="s">
        <v>68</v>
      </c>
      <c r="B24" s="8" t="s">
        <v>69</v>
      </c>
      <c r="C24" s="9"/>
      <c r="D24" s="10" t="s">
        <v>70</v>
      </c>
      <c r="E24" s="8" t="s">
        <v>15</v>
      </c>
      <c r="F24" s="11" t="s">
        <v>71</v>
      </c>
      <c r="G24" s="8"/>
    </row>
    <row r="25" customFormat="false" ht="15" hidden="false" customHeight="false" outlineLevel="0" collapsed="false">
      <c r="A25" s="8" t="s">
        <v>72</v>
      </c>
      <c r="B25" s="8" t="s">
        <v>73</v>
      </c>
      <c r="C25" s="13" t="s">
        <v>48</v>
      </c>
      <c r="D25" s="10" t="s">
        <v>48</v>
      </c>
      <c r="E25" s="8" t="s">
        <v>15</v>
      </c>
      <c r="F25" s="11"/>
      <c r="G25" s="8"/>
    </row>
    <row r="26" customFormat="false" ht="15" hidden="false" customHeight="false" outlineLevel="0" collapsed="false">
      <c r="A26" s="8" t="s">
        <v>74</v>
      </c>
      <c r="B26" s="8" t="s">
        <v>75</v>
      </c>
      <c r="C26" s="13" t="s">
        <v>48</v>
      </c>
      <c r="D26" s="10" t="s">
        <v>48</v>
      </c>
      <c r="E26" s="8" t="s">
        <v>15</v>
      </c>
      <c r="F26" s="11"/>
      <c r="G26" s="8"/>
    </row>
    <row r="27" customFormat="false" ht="15" hidden="false" customHeight="false" outlineLevel="0" collapsed="false">
      <c r="A27" s="8" t="s">
        <v>76</v>
      </c>
      <c r="B27" s="8" t="s">
        <v>77</v>
      </c>
      <c r="C27" s="9"/>
      <c r="D27" s="10" t="s">
        <v>78</v>
      </c>
      <c r="E27" s="8" t="s">
        <v>24</v>
      </c>
      <c r="F27" s="11" t="s">
        <v>79</v>
      </c>
      <c r="G27" s="8"/>
    </row>
    <row r="28" customFormat="false" ht="32.8" hidden="false" customHeight="false" outlineLevel="0" collapsed="false">
      <c r="A28" s="8" t="s">
        <v>80</v>
      </c>
      <c r="B28" s="8" t="s">
        <v>81</v>
      </c>
      <c r="C28" s="9"/>
      <c r="D28" s="10" t="s">
        <v>82</v>
      </c>
      <c r="E28" s="8" t="s">
        <v>15</v>
      </c>
      <c r="F28" s="11" t="s">
        <v>83</v>
      </c>
      <c r="G28" s="8"/>
    </row>
    <row r="29" customFormat="false" ht="15" hidden="false" customHeight="false" outlineLevel="0" collapsed="false">
      <c r="A29" s="7" t="s">
        <v>84</v>
      </c>
      <c r="B29" s="7"/>
      <c r="C29" s="7"/>
      <c r="D29" s="7"/>
      <c r="E29" s="7"/>
      <c r="F29" s="7"/>
      <c r="G29" s="7"/>
    </row>
    <row r="30" customFormat="false" ht="22.35" hidden="false" customHeight="false" outlineLevel="0" collapsed="false">
      <c r="A30" s="8" t="s">
        <v>85</v>
      </c>
      <c r="B30" s="8" t="s">
        <v>86</v>
      </c>
      <c r="C30" s="13" t="s">
        <v>87</v>
      </c>
      <c r="D30" s="10" t="s">
        <v>87</v>
      </c>
      <c r="E30" s="8" t="s">
        <v>15</v>
      </c>
      <c r="F30" s="11" t="s">
        <v>88</v>
      </c>
      <c r="G30" s="8"/>
    </row>
    <row r="31" customFormat="false" ht="23.85" hidden="false" customHeight="false" outlineLevel="0" collapsed="false">
      <c r="A31" s="8" t="s">
        <v>89</v>
      </c>
      <c r="B31" s="8" t="s">
        <v>90</v>
      </c>
      <c r="C31" s="13" t="s">
        <v>91</v>
      </c>
      <c r="D31" s="10" t="s">
        <v>91</v>
      </c>
      <c r="E31" s="8" t="s">
        <v>15</v>
      </c>
      <c r="F31" s="11" t="s">
        <v>92</v>
      </c>
      <c r="G31" s="8"/>
    </row>
    <row r="32" customFormat="false" ht="22.35" hidden="false" customHeight="false" outlineLevel="0" collapsed="false">
      <c r="A32" s="8" t="s">
        <v>93</v>
      </c>
      <c r="B32" s="8" t="s">
        <v>94</v>
      </c>
      <c r="C32" s="14" t="n">
        <v>1</v>
      </c>
      <c r="D32" s="10" t="s">
        <v>95</v>
      </c>
      <c r="E32" s="8" t="s">
        <v>15</v>
      </c>
      <c r="F32" s="11" t="s">
        <v>96</v>
      </c>
      <c r="G32" s="8"/>
    </row>
    <row r="33" customFormat="false" ht="15" hidden="false" customHeight="false" outlineLevel="0" collapsed="false">
      <c r="A33" s="7" t="s">
        <v>97</v>
      </c>
      <c r="B33" s="7"/>
      <c r="C33" s="7"/>
      <c r="D33" s="7"/>
      <c r="E33" s="7"/>
      <c r="F33" s="7"/>
      <c r="G33" s="7"/>
    </row>
    <row r="34" customFormat="false" ht="15" hidden="false" customHeight="false" outlineLevel="0" collapsed="false">
      <c r="A34" s="8" t="s">
        <v>98</v>
      </c>
      <c r="B34" s="8" t="s">
        <v>99</v>
      </c>
      <c r="C34" s="9"/>
      <c r="D34" s="10" t="s">
        <v>100</v>
      </c>
      <c r="E34" s="8" t="s">
        <v>15</v>
      </c>
      <c r="F34" s="11" t="s">
        <v>101</v>
      </c>
      <c r="G34" s="8"/>
    </row>
    <row r="35" customFormat="false" ht="15" hidden="false" customHeight="false" outlineLevel="0" collapsed="false">
      <c r="A35" s="8" t="s">
        <v>102</v>
      </c>
      <c r="B35" s="8" t="s">
        <v>103</v>
      </c>
      <c r="C35" s="13" t="s">
        <v>48</v>
      </c>
      <c r="D35" s="10" t="s">
        <v>48</v>
      </c>
      <c r="E35" s="8" t="s">
        <v>15</v>
      </c>
      <c r="F35" s="11"/>
      <c r="G35" s="8"/>
    </row>
    <row r="36" customFormat="false" ht="15" hidden="false" customHeight="false" outlineLevel="0" collapsed="false">
      <c r="A36" s="8" t="s">
        <v>104</v>
      </c>
      <c r="B36" s="8" t="s">
        <v>105</v>
      </c>
      <c r="C36" s="15"/>
      <c r="D36" s="10" t="s">
        <v>106</v>
      </c>
      <c r="E36" s="8" t="s">
        <v>15</v>
      </c>
      <c r="F36" s="11" t="s">
        <v>107</v>
      </c>
      <c r="G36" s="8"/>
    </row>
    <row r="37" customFormat="false" ht="23.85" hidden="false" customHeight="false" outlineLevel="0" collapsed="false">
      <c r="A37" s="8" t="s">
        <v>108</v>
      </c>
      <c r="B37" s="8" t="s">
        <v>109</v>
      </c>
      <c r="C37" s="16" t="str">
        <f aca="false">IF(C36="","",IF(C36&gt;'Checklist Docs &amp; Validation'!$D$4,"OK","À RENOUVELER (expire avant la date repère)"))</f>
        <v/>
      </c>
      <c r="D37" s="10"/>
      <c r="E37" s="8" t="s">
        <v>15</v>
      </c>
      <c r="F37" s="11"/>
      <c r="G37" s="17"/>
    </row>
    <row r="38" customFormat="false" ht="15" hidden="false" customHeight="false" outlineLevel="0" collapsed="false">
      <c r="A38" s="8" t="s">
        <v>110</v>
      </c>
      <c r="B38" s="8" t="s">
        <v>111</v>
      </c>
      <c r="C38" s="9"/>
      <c r="D38" s="10" t="s">
        <v>112</v>
      </c>
      <c r="E38" s="8" t="s">
        <v>15</v>
      </c>
      <c r="F38" s="11" t="s">
        <v>113</v>
      </c>
      <c r="G38" s="8"/>
    </row>
    <row r="39" customFormat="false" ht="15" hidden="false" customHeight="false" outlineLevel="0" collapsed="false">
      <c r="A39" s="7" t="s">
        <v>114</v>
      </c>
      <c r="B39" s="7"/>
      <c r="C39" s="7"/>
      <c r="D39" s="7"/>
      <c r="E39" s="7"/>
      <c r="F39" s="7"/>
      <c r="G39" s="7"/>
    </row>
    <row r="40" customFormat="false" ht="32.8" hidden="false" customHeight="false" outlineLevel="0" collapsed="false">
      <c r="A40" s="8" t="s">
        <v>115</v>
      </c>
      <c r="B40" s="8" t="s">
        <v>116</v>
      </c>
      <c r="C40" s="9"/>
      <c r="D40" s="10" t="s">
        <v>117</v>
      </c>
      <c r="E40" s="8" t="s">
        <v>15</v>
      </c>
      <c r="F40" s="11" t="s">
        <v>118</v>
      </c>
      <c r="G40" s="8"/>
    </row>
    <row r="41" customFormat="false" ht="15" hidden="false" customHeight="false" outlineLevel="0" collapsed="false">
      <c r="A41" s="8" t="s">
        <v>119</v>
      </c>
      <c r="B41" s="8" t="s">
        <v>120</v>
      </c>
      <c r="C41" s="9"/>
      <c r="D41" s="10" t="s">
        <v>121</v>
      </c>
      <c r="E41" s="8" t="s">
        <v>15</v>
      </c>
      <c r="F41" s="11" t="s">
        <v>122</v>
      </c>
      <c r="G41" s="8"/>
    </row>
    <row r="42" customFormat="false" ht="15" hidden="false" customHeight="false" outlineLevel="0" collapsed="false">
      <c r="A42" s="8" t="s">
        <v>123</v>
      </c>
      <c r="B42" s="8" t="s">
        <v>124</v>
      </c>
      <c r="C42" s="9"/>
      <c r="D42" s="10" t="s">
        <v>125</v>
      </c>
      <c r="E42" s="8" t="s">
        <v>15</v>
      </c>
      <c r="F42" s="11" t="s">
        <v>126</v>
      </c>
      <c r="G42" s="8"/>
    </row>
    <row r="43" customFormat="false" ht="22.35" hidden="false" customHeight="false" outlineLevel="0" collapsed="false">
      <c r="A43" s="8" t="s">
        <v>127</v>
      </c>
      <c r="B43" s="8" t="s">
        <v>128</v>
      </c>
      <c r="C43" s="15"/>
      <c r="D43" s="10" t="s">
        <v>129</v>
      </c>
      <c r="E43" s="8" t="s">
        <v>15</v>
      </c>
      <c r="F43" s="11" t="s">
        <v>130</v>
      </c>
      <c r="G43" s="8"/>
    </row>
    <row r="44" customFormat="false" ht="15" hidden="false" customHeight="false" outlineLevel="0" collapsed="false">
      <c r="A44" s="8" t="s">
        <v>131</v>
      </c>
      <c r="B44" s="8" t="s">
        <v>132</v>
      </c>
      <c r="C44" s="16" t="str">
        <f aca="true">IF(OR(C41="",C42="",C43=""),"",IF(AND(C41="600x600",C42&lt;=240,TODAY()-C43&lt;=183,TODAY()&gt;=C43),"OK","À CORRIGER"))</f>
        <v/>
      </c>
      <c r="D44" s="10"/>
      <c r="E44" s="8" t="s">
        <v>15</v>
      </c>
      <c r="F44" s="11"/>
      <c r="G44" s="17"/>
    </row>
    <row r="45" customFormat="false" ht="15" hidden="false" customHeight="false" outlineLevel="0" collapsed="false">
      <c r="A45" s="7" t="s">
        <v>133</v>
      </c>
      <c r="B45" s="7"/>
      <c r="C45" s="7"/>
      <c r="D45" s="7"/>
      <c r="E45" s="7"/>
      <c r="F45" s="7"/>
      <c r="G45" s="7"/>
    </row>
    <row r="46" customFormat="false" ht="15" hidden="false" customHeight="false" outlineLevel="0" collapsed="false">
      <c r="A46" s="8" t="s">
        <v>134</v>
      </c>
      <c r="B46" s="8" t="s">
        <v>135</v>
      </c>
      <c r="C46" s="18" t="str">
        <f aca="false">IF('Demandeur Princ. - Épouse'!C8="","",'Demandeur Princ. - Épouse'!C8)</f>
        <v/>
      </c>
      <c r="D46" s="10"/>
      <c r="E46" s="8" t="s">
        <v>136</v>
      </c>
      <c r="F46" s="11"/>
      <c r="G46" s="17"/>
    </row>
    <row r="47" customFormat="false" ht="15" hidden="false" customHeight="false" outlineLevel="0" collapsed="false">
      <c r="A47" s="8" t="s">
        <v>137</v>
      </c>
      <c r="B47" s="8" t="s">
        <v>138</v>
      </c>
      <c r="C47" s="18" t="str">
        <f aca="false">IF('Demandeur Princ. - Épouse'!C9="","",'Demandeur Princ. - Épouse'!C9)</f>
        <v/>
      </c>
      <c r="D47" s="10"/>
      <c r="E47" s="8" t="s">
        <v>136</v>
      </c>
      <c r="F47" s="11"/>
      <c r="G47" s="17"/>
    </row>
    <row r="48" customFormat="false" ht="15" hidden="false" customHeight="false" outlineLevel="0" collapsed="false">
      <c r="A48" s="8" t="s">
        <v>139</v>
      </c>
      <c r="B48" s="8" t="s">
        <v>140</v>
      </c>
      <c r="C48" s="18" t="str">
        <f aca="false">IF('Demandeur Princ. - Épouse'!C10="","",'Demandeur Princ. - Épouse'!C10)</f>
        <v/>
      </c>
      <c r="D48" s="10"/>
      <c r="E48" s="8" t="s">
        <v>136</v>
      </c>
      <c r="F48" s="11"/>
      <c r="G48" s="17"/>
    </row>
    <row r="49" customFormat="false" ht="15" hidden="false" customHeight="false" outlineLevel="0" collapsed="false">
      <c r="A49" s="8" t="s">
        <v>141</v>
      </c>
      <c r="B49" s="8" t="s">
        <v>142</v>
      </c>
      <c r="C49" s="18" t="str">
        <f aca="false">IF('Demandeur Princ. - Épouse'!C11="","",'Demandeur Princ. - Épouse'!C11)</f>
        <v/>
      </c>
      <c r="D49" s="10"/>
      <c r="E49" s="8" t="s">
        <v>136</v>
      </c>
      <c r="F49" s="11"/>
      <c r="G49" s="17"/>
    </row>
    <row r="50" customFormat="false" ht="15" hidden="false" customHeight="false" outlineLevel="0" collapsed="false">
      <c r="A50" s="8" t="s">
        <v>143</v>
      </c>
      <c r="B50" s="8" t="s">
        <v>144</v>
      </c>
      <c r="C50" s="18" t="str">
        <f aca="false">IF(OR('Demandeur Princ. - Épouse'!C12="",'Demandeur Princ. - Épouse'!C13="",'Demandeur Princ. - Épouse'!C14=""),"",TEXT('Demandeur Princ. - Épouse'!C12,"00")&amp;"/"&amp;TEXT('Demandeur Princ. - Épouse'!C13,"00")&amp;"/"&amp;'Demandeur Princ. - Épouse'!C14)</f>
        <v/>
      </c>
      <c r="D50" s="10"/>
      <c r="E50" s="8" t="s">
        <v>136</v>
      </c>
      <c r="F50" s="11"/>
      <c r="G50" s="17"/>
    </row>
    <row r="51" customFormat="false" ht="15" hidden="false" customHeight="false" outlineLevel="0" collapsed="false">
      <c r="A51" s="8" t="s">
        <v>145</v>
      </c>
      <c r="B51" s="8" t="s">
        <v>146</v>
      </c>
      <c r="C51" s="18" t="str">
        <f aca="false">IF('Demandeur Princ. - Épouse'!C15="","",'Demandeur Princ. - Épouse'!C15)</f>
        <v/>
      </c>
      <c r="D51" s="10"/>
      <c r="E51" s="8" t="s">
        <v>136</v>
      </c>
      <c r="F51" s="11"/>
      <c r="G51" s="17"/>
    </row>
    <row r="52" customFormat="false" ht="15" hidden="false" customHeight="false" outlineLevel="0" collapsed="false">
      <c r="A52" s="8" t="s">
        <v>147</v>
      </c>
      <c r="B52" s="8" t="s">
        <v>148</v>
      </c>
      <c r="C52" s="18" t="str">
        <f aca="false">IF('Demandeur Princ. - Épouse'!C16="","",'Demandeur Princ. - Épouse'!C16)</f>
        <v/>
      </c>
      <c r="D52" s="10"/>
      <c r="E52" s="8" t="s">
        <v>136</v>
      </c>
      <c r="F52" s="11"/>
      <c r="G52" s="17"/>
    </row>
    <row r="53" customFormat="false" ht="15" hidden="false" customHeight="false" outlineLevel="0" collapsed="false">
      <c r="A53" s="8" t="s">
        <v>149</v>
      </c>
      <c r="B53" s="8" t="s">
        <v>150</v>
      </c>
      <c r="C53" s="18" t="str">
        <f aca="false">IF('Demandeur Princ. - Épouse'!C40="","",'Demandeur Princ. - Épouse'!C40)</f>
        <v/>
      </c>
      <c r="D53" s="10"/>
      <c r="E53" s="8" t="s">
        <v>136</v>
      </c>
      <c r="F53" s="11"/>
      <c r="G53" s="17"/>
    </row>
    <row r="54" customFormat="false" ht="15" hidden="false" customHeight="false" outlineLevel="0" collapsed="false">
      <c r="A54" s="7" t="s">
        <v>151</v>
      </c>
      <c r="B54" s="7"/>
      <c r="C54" s="7"/>
      <c r="D54" s="7"/>
      <c r="E54" s="7"/>
      <c r="F54" s="7"/>
      <c r="G54" s="7"/>
    </row>
    <row r="55" customFormat="false" ht="15" hidden="false" customHeight="false" outlineLevel="0" collapsed="false">
      <c r="A55" s="8" t="s">
        <v>152</v>
      </c>
      <c r="B55" s="8" t="s">
        <v>153</v>
      </c>
      <c r="C55" s="18" t="str">
        <f aca="false">IF('Enfant (Fils)'!C8="","",'Enfant (Fils)'!C8)</f>
        <v/>
      </c>
      <c r="D55" s="10"/>
      <c r="E55" s="8" t="s">
        <v>136</v>
      </c>
      <c r="F55" s="11"/>
      <c r="G55" s="17"/>
    </row>
    <row r="56" customFormat="false" ht="15" hidden="false" customHeight="false" outlineLevel="0" collapsed="false">
      <c r="A56" s="8" t="s">
        <v>154</v>
      </c>
      <c r="B56" s="8" t="s">
        <v>155</v>
      </c>
      <c r="C56" s="18" t="str">
        <f aca="false">IF('Enfant (Fils)'!C9="","",'Enfant (Fils)'!C9)</f>
        <v/>
      </c>
      <c r="D56" s="10"/>
      <c r="E56" s="8" t="s">
        <v>136</v>
      </c>
      <c r="F56" s="11"/>
      <c r="G56" s="17"/>
    </row>
    <row r="57" customFormat="false" ht="15" hidden="false" customHeight="false" outlineLevel="0" collapsed="false">
      <c r="A57" s="8" t="s">
        <v>156</v>
      </c>
      <c r="B57" s="8" t="s">
        <v>157</v>
      </c>
      <c r="C57" s="18" t="str">
        <f aca="false">IF('Enfant (Fils)'!C10="","",'Enfant (Fils)'!C10)</f>
        <v/>
      </c>
      <c r="D57" s="10"/>
      <c r="E57" s="8" t="s">
        <v>136</v>
      </c>
      <c r="F57" s="11"/>
      <c r="G57" s="17"/>
    </row>
    <row r="58" customFormat="false" ht="15" hidden="false" customHeight="false" outlineLevel="0" collapsed="false">
      <c r="A58" s="8" t="s">
        <v>158</v>
      </c>
      <c r="B58" s="8" t="s">
        <v>159</v>
      </c>
      <c r="C58" s="18" t="str">
        <f aca="false">IF('Enfant (Fils)'!C11="","",'Enfant (Fils)'!C11)</f>
        <v/>
      </c>
      <c r="D58" s="10"/>
      <c r="E58" s="8" t="s">
        <v>136</v>
      </c>
      <c r="F58" s="11"/>
      <c r="G58" s="17"/>
    </row>
    <row r="59" customFormat="false" ht="15" hidden="false" customHeight="false" outlineLevel="0" collapsed="false">
      <c r="A59" s="8" t="s">
        <v>160</v>
      </c>
      <c r="B59" s="8" t="s">
        <v>161</v>
      </c>
      <c r="C59" s="18" t="str">
        <f aca="false">IF(OR('Enfant (Fils)'!C12="",'Enfant (Fils)'!C13="",'Enfant (Fils)'!C14=""),"",TEXT('Enfant (Fils)'!C12,"00")&amp;"/"&amp;TEXT('Enfant (Fils)'!C13,"00")&amp;"/"&amp;'Enfant (Fils)'!C14)</f>
        <v/>
      </c>
      <c r="D59" s="10"/>
      <c r="E59" s="8" t="s">
        <v>136</v>
      </c>
      <c r="F59" s="11"/>
      <c r="G59" s="17"/>
    </row>
    <row r="60" customFormat="false" ht="15" hidden="false" customHeight="false" outlineLevel="0" collapsed="false">
      <c r="A60" s="8" t="s">
        <v>162</v>
      </c>
      <c r="B60" s="8" t="s">
        <v>163</v>
      </c>
      <c r="C60" s="18" t="str">
        <f aca="false">IF('Enfant (Fils)'!C15="","",'Enfant (Fils)'!C15)</f>
        <v/>
      </c>
      <c r="D60" s="10"/>
      <c r="E60" s="8" t="s">
        <v>136</v>
      </c>
      <c r="F60" s="11"/>
      <c r="G60" s="17"/>
    </row>
    <row r="61" customFormat="false" ht="15" hidden="false" customHeight="false" outlineLevel="0" collapsed="false">
      <c r="A61" s="8" t="s">
        <v>164</v>
      </c>
      <c r="B61" s="8" t="s">
        <v>165</v>
      </c>
      <c r="C61" s="18" t="str">
        <f aca="false">IF('Enfant (Fils)'!C16="","",'Enfant (Fils)'!C16)</f>
        <v/>
      </c>
      <c r="D61" s="10"/>
      <c r="E61" s="8" t="s">
        <v>136</v>
      </c>
      <c r="F61" s="11"/>
      <c r="G61" s="17"/>
    </row>
    <row r="62" customFormat="false" ht="15" hidden="false" customHeight="false" outlineLevel="0" collapsed="false">
      <c r="A62" s="8" t="s">
        <v>166</v>
      </c>
      <c r="B62" s="8" t="s">
        <v>167</v>
      </c>
      <c r="C62" s="18" t="str">
        <f aca="false">IF('Enfant (Fils)'!C28="","",'Enfant (Fils)'!C28)</f>
        <v/>
      </c>
      <c r="D62" s="10"/>
      <c r="E62" s="8" t="s">
        <v>136</v>
      </c>
      <c r="F62" s="11"/>
      <c r="G62" s="17"/>
    </row>
  </sheetData>
  <mergeCells count="9">
    <mergeCell ref="A1:G1"/>
    <mergeCell ref="A2:G2"/>
    <mergeCell ref="A7:G7"/>
    <mergeCell ref="A18:G18"/>
    <mergeCell ref="A29:G29"/>
    <mergeCell ref="A33:G33"/>
    <mergeCell ref="A39:G39"/>
    <mergeCell ref="A45:G45"/>
    <mergeCell ref="A54:G54"/>
  </mergeCells>
  <dataValidations count="8">
    <dataValidation allowBlank="true" errorStyle="stop" operator="between" showDropDown="false" showErrorMessage="false" showInputMessage="false" sqref="C11" type="list">
      <formula1>Listes!$D$2:$D$3</formula1>
      <formula2>0</formula2>
    </dataValidation>
    <dataValidation allowBlank="true" errorStyle="stop" operator="between" showDropDown="false" showErrorMessage="false" showInputMessage="false" sqref="C12" type="whole">
      <formula1>1</formula1>
      <formula2>31</formula2>
    </dataValidation>
    <dataValidation allowBlank="true" errorStyle="stop" operator="between" showDropDown="false" showErrorMessage="false" showInputMessage="false" sqref="C13" type="whole">
      <formula1>1</formula1>
      <formula2>12</formula2>
    </dataValidation>
    <dataValidation allowBlank="true" errorStyle="stop" operator="between" showDropDown="false" showErrorMessage="false" showInputMessage="false" sqref="C14" type="whole">
      <formula1>1900</formula1>
      <formula2>2100</formula2>
    </dataValidation>
    <dataValidation allowBlank="true" errorStyle="stop" operator="between" showDropDown="false" showErrorMessage="false" showInputMessage="false" sqref="C30" type="list">
      <formula1>Listes!$A$2:$A$11</formula1>
      <formula2>0</formula2>
    </dataValidation>
    <dataValidation allowBlank="true" errorStyle="stop" operator="between" showDropDown="false" showErrorMessage="false" showInputMessage="false" sqref="C31" type="list">
      <formula1>Listes!$B$2:$B$7</formula1>
      <formula2>0</formula2>
    </dataValidation>
    <dataValidation allowBlank="true" errorStyle="stop" operator="between" showDropDown="false" showErrorMessage="false" showInputMessage="false" sqref="C32" type="whole">
      <formula1>0</formula1>
      <formula2>20</formula2>
    </dataValidation>
    <dataValidation allowBlank="true" errorStyle="stop" operator="between" showDropDown="false" showErrorMessage="false" showInputMessage="false" sqref="G7:G62" type="list">
      <formula1>"Oui,Non"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G6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6" topLeftCell="A7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30"/>
    <col collapsed="false" customWidth="true" hidden="false" outlineLevel="0" max="3" min="3" style="0" width="36"/>
    <col collapsed="false" customWidth="true" hidden="false" outlineLevel="0" max="4" min="4" style="0" width="26"/>
    <col collapsed="false" customWidth="true" hidden="false" outlineLevel="0" max="5" min="5" style="0" width="12"/>
    <col collapsed="false" customWidth="true" hidden="false" outlineLevel="0" max="6" min="6" style="0" width="62"/>
    <col collapsed="false" customWidth="true" hidden="false" outlineLevel="0" max="7" min="7" style="0" width="11"/>
  </cols>
  <sheetData>
    <row r="1" customFormat="false" ht="17.35" hidden="false" customHeight="false" outlineLevel="0" collapsed="false">
      <c r="A1" s="1" t="s">
        <v>168</v>
      </c>
      <c r="B1" s="1"/>
      <c r="C1" s="1"/>
      <c r="D1" s="1"/>
      <c r="E1" s="1"/>
      <c r="F1" s="1"/>
      <c r="G1" s="1"/>
    </row>
    <row r="2" customFormat="false" ht="37.5" hidden="false" customHeight="true" outlineLevel="0" collapsed="false">
      <c r="A2" s="2" t="s">
        <v>1</v>
      </c>
      <c r="B2" s="2"/>
      <c r="C2" s="2"/>
      <c r="D2" s="2"/>
      <c r="E2" s="2"/>
      <c r="F2" s="2"/>
      <c r="G2" s="2"/>
    </row>
    <row r="3" customFormat="false" ht="15" hidden="false" customHeight="false" outlineLevel="0" collapsed="false">
      <c r="A3" s="3" t="s">
        <v>2</v>
      </c>
      <c r="B3" s="4"/>
      <c r="C3" s="5" t="n">
        <f aca="false">IFERROR(SUMPRODUCT((E7:E62="Oui")*(C7:C62&lt;&gt;""))/COUNTIF(E7:E62,"Oui"),0)</f>
        <v>0.0689655172413793</v>
      </c>
      <c r="D3" s="4"/>
      <c r="E3" s="4"/>
      <c r="F3" s="4"/>
      <c r="G3" s="4"/>
    </row>
    <row r="4" customFormat="false" ht="15" hidden="false" customHeight="false" outlineLevel="0" collapsed="false">
      <c r="A4" s="3" t="s">
        <v>3</v>
      </c>
      <c r="B4" s="4"/>
      <c r="C4" s="5" t="n">
        <f aca="false">IFERROR(SUMPRODUCT((E7:E62="Oui")*(G7:G62="Oui"))/COUNTIF(E7:E62,"Oui"),0)</f>
        <v>0</v>
      </c>
      <c r="D4" s="4"/>
      <c r="E4" s="4"/>
      <c r="F4" s="4"/>
      <c r="G4" s="4"/>
    </row>
    <row r="5" customFormat="false" ht="15" hidden="false" customHeight="false" outlineLevel="0" collapsed="false">
      <c r="A5" s="4"/>
      <c r="B5" s="4"/>
      <c r="C5" s="4"/>
      <c r="D5" s="4"/>
      <c r="E5" s="4"/>
      <c r="F5" s="4"/>
      <c r="G5" s="4"/>
    </row>
    <row r="6" customFormat="false" ht="15" hidden="false" customHeight="false" outlineLevel="0" collapsed="false">
      <c r="A6" s="6" t="s">
        <v>4</v>
      </c>
      <c r="B6" s="6" t="s">
        <v>5</v>
      </c>
      <c r="C6" s="6" t="s">
        <v>6</v>
      </c>
      <c r="D6" s="6" t="s">
        <v>7</v>
      </c>
      <c r="E6" s="6" t="s">
        <v>8</v>
      </c>
      <c r="F6" s="6" t="s">
        <v>9</v>
      </c>
      <c r="G6" s="6" t="s">
        <v>10</v>
      </c>
    </row>
    <row r="7" customFormat="false" ht="15" hidden="false" customHeight="false" outlineLevel="0" collapsed="false">
      <c r="A7" s="7" t="s">
        <v>11</v>
      </c>
      <c r="B7" s="7"/>
      <c r="C7" s="7"/>
      <c r="D7" s="7"/>
      <c r="E7" s="7"/>
      <c r="F7" s="7"/>
      <c r="G7" s="7"/>
    </row>
    <row r="8" customFormat="false" ht="32.8" hidden="false" customHeight="false" outlineLevel="0" collapsed="false">
      <c r="A8" s="8" t="s">
        <v>12</v>
      </c>
      <c r="B8" s="8" t="s">
        <v>13</v>
      </c>
      <c r="C8" s="9"/>
      <c r="D8" s="10" t="s">
        <v>14</v>
      </c>
      <c r="E8" s="8" t="s">
        <v>15</v>
      </c>
      <c r="F8" s="11" t="s">
        <v>16</v>
      </c>
      <c r="G8" s="8"/>
    </row>
    <row r="9" customFormat="false" ht="15" hidden="false" customHeight="false" outlineLevel="0" collapsed="false">
      <c r="A9" s="8" t="s">
        <v>17</v>
      </c>
      <c r="B9" s="8" t="s">
        <v>18</v>
      </c>
      <c r="C9" s="9"/>
      <c r="D9" s="10" t="s">
        <v>19</v>
      </c>
      <c r="E9" s="8" t="s">
        <v>15</v>
      </c>
      <c r="F9" s="11" t="s">
        <v>20</v>
      </c>
      <c r="G9" s="8"/>
    </row>
    <row r="10" customFormat="false" ht="15" hidden="false" customHeight="false" outlineLevel="0" collapsed="false">
      <c r="A10" s="8" t="s">
        <v>21</v>
      </c>
      <c r="B10" s="8" t="s">
        <v>22</v>
      </c>
      <c r="C10" s="9"/>
      <c r="D10" s="10" t="s">
        <v>23</v>
      </c>
      <c r="E10" s="8" t="s">
        <v>24</v>
      </c>
      <c r="F10" s="11" t="s">
        <v>25</v>
      </c>
      <c r="G10" s="8"/>
    </row>
    <row r="11" customFormat="false" ht="15" hidden="false" customHeight="false" outlineLevel="0" collapsed="false">
      <c r="A11" s="8" t="s">
        <v>26</v>
      </c>
      <c r="B11" s="8" t="s">
        <v>27</v>
      </c>
      <c r="C11" s="9"/>
      <c r="D11" s="10" t="s">
        <v>28</v>
      </c>
      <c r="E11" s="8" t="s">
        <v>15</v>
      </c>
      <c r="F11" s="11" t="s">
        <v>29</v>
      </c>
      <c r="G11" s="8"/>
    </row>
    <row r="12" customFormat="false" ht="15" hidden="false" customHeight="false" outlineLevel="0" collapsed="false">
      <c r="A12" s="8" t="s">
        <v>30</v>
      </c>
      <c r="B12" s="8" t="s">
        <v>31</v>
      </c>
      <c r="C12" s="12"/>
      <c r="D12" s="10" t="s">
        <v>32</v>
      </c>
      <c r="E12" s="8" t="s">
        <v>15</v>
      </c>
      <c r="F12" s="11" t="s">
        <v>33</v>
      </c>
      <c r="G12" s="8"/>
    </row>
    <row r="13" customFormat="false" ht="15" hidden="false" customHeight="false" outlineLevel="0" collapsed="false">
      <c r="A13" s="8" t="s">
        <v>34</v>
      </c>
      <c r="B13" s="8" t="s">
        <v>35</v>
      </c>
      <c r="C13" s="12"/>
      <c r="D13" s="10" t="s">
        <v>36</v>
      </c>
      <c r="E13" s="8" t="s">
        <v>15</v>
      </c>
      <c r="F13" s="11" t="s">
        <v>37</v>
      </c>
      <c r="G13" s="8"/>
    </row>
    <row r="14" customFormat="false" ht="15" hidden="false" customHeight="false" outlineLevel="0" collapsed="false">
      <c r="A14" s="8" t="s">
        <v>38</v>
      </c>
      <c r="B14" s="8" t="s">
        <v>39</v>
      </c>
      <c r="C14" s="12"/>
      <c r="D14" s="10" t="s">
        <v>40</v>
      </c>
      <c r="E14" s="8" t="s">
        <v>15</v>
      </c>
      <c r="F14" s="11" t="s">
        <v>41</v>
      </c>
      <c r="G14" s="8"/>
    </row>
    <row r="15" customFormat="false" ht="15" hidden="false" customHeight="false" outlineLevel="0" collapsed="false">
      <c r="A15" s="8" t="s">
        <v>42</v>
      </c>
      <c r="B15" s="8" t="s">
        <v>43</v>
      </c>
      <c r="C15" s="9"/>
      <c r="D15" s="10" t="s">
        <v>44</v>
      </c>
      <c r="E15" s="8" t="s">
        <v>15</v>
      </c>
      <c r="F15" s="11" t="s">
        <v>45</v>
      </c>
      <c r="G15" s="8"/>
    </row>
    <row r="16" customFormat="false" ht="15" hidden="false" customHeight="false" outlineLevel="0" collapsed="false">
      <c r="A16" s="8" t="s">
        <v>46</v>
      </c>
      <c r="B16" s="8" t="s">
        <v>47</v>
      </c>
      <c r="C16" s="9"/>
      <c r="D16" s="10" t="s">
        <v>48</v>
      </c>
      <c r="E16" s="8" t="s">
        <v>15</v>
      </c>
      <c r="F16" s="11" t="s">
        <v>169</v>
      </c>
      <c r="G16" s="8"/>
    </row>
    <row r="17" customFormat="false" ht="32.8" hidden="false" customHeight="false" outlineLevel="0" collapsed="false">
      <c r="A17" s="8" t="s">
        <v>50</v>
      </c>
      <c r="B17" s="8" t="s">
        <v>51</v>
      </c>
      <c r="C17" s="9"/>
      <c r="D17" s="10" t="s">
        <v>48</v>
      </c>
      <c r="E17" s="8" t="s">
        <v>15</v>
      </c>
      <c r="F17" s="11" t="s">
        <v>170</v>
      </c>
      <c r="G17" s="8"/>
    </row>
    <row r="18" customFormat="false" ht="15" hidden="false" customHeight="false" outlineLevel="0" collapsed="false">
      <c r="A18" s="7" t="s">
        <v>53</v>
      </c>
      <c r="B18" s="7"/>
      <c r="C18" s="7"/>
      <c r="D18" s="7"/>
      <c r="E18" s="7"/>
      <c r="F18" s="7"/>
      <c r="G18" s="7"/>
    </row>
    <row r="19" customFormat="false" ht="15" hidden="false" customHeight="false" outlineLevel="0" collapsed="false">
      <c r="A19" s="8" t="s">
        <v>54</v>
      </c>
      <c r="B19" s="8" t="s">
        <v>55</v>
      </c>
      <c r="C19" s="9"/>
      <c r="D19" s="10"/>
      <c r="E19" s="8" t="s">
        <v>24</v>
      </c>
      <c r="F19" s="11"/>
      <c r="G19" s="8"/>
    </row>
    <row r="20" customFormat="false" ht="15" hidden="false" customHeight="false" outlineLevel="0" collapsed="false">
      <c r="A20" s="8" t="s">
        <v>56</v>
      </c>
      <c r="B20" s="8" t="s">
        <v>57</v>
      </c>
      <c r="C20" s="9"/>
      <c r="D20" s="10" t="s">
        <v>58</v>
      </c>
      <c r="E20" s="8" t="s">
        <v>15</v>
      </c>
      <c r="F20" s="11"/>
      <c r="G20" s="8"/>
    </row>
    <row r="21" customFormat="false" ht="15" hidden="false" customHeight="false" outlineLevel="0" collapsed="false">
      <c r="A21" s="8" t="s">
        <v>59</v>
      </c>
      <c r="B21" s="8" t="s">
        <v>60</v>
      </c>
      <c r="C21" s="9"/>
      <c r="D21" s="10" t="s">
        <v>61</v>
      </c>
      <c r="E21" s="8" t="s">
        <v>24</v>
      </c>
      <c r="F21" s="11"/>
      <c r="G21" s="8"/>
    </row>
    <row r="22" customFormat="false" ht="15" hidden="false" customHeight="false" outlineLevel="0" collapsed="false">
      <c r="A22" s="8" t="s">
        <v>62</v>
      </c>
      <c r="B22" s="8" t="s">
        <v>63</v>
      </c>
      <c r="C22" s="9"/>
      <c r="D22" s="10" t="s">
        <v>44</v>
      </c>
      <c r="E22" s="8" t="s">
        <v>15</v>
      </c>
      <c r="F22" s="11" t="s">
        <v>64</v>
      </c>
      <c r="G22" s="8"/>
    </row>
    <row r="23" customFormat="false" ht="15" hidden="false" customHeight="false" outlineLevel="0" collapsed="false">
      <c r="A23" s="8" t="s">
        <v>65</v>
      </c>
      <c r="B23" s="8" t="s">
        <v>66</v>
      </c>
      <c r="C23" s="9"/>
      <c r="D23" s="10" t="s">
        <v>67</v>
      </c>
      <c r="E23" s="8" t="s">
        <v>15</v>
      </c>
      <c r="F23" s="11"/>
      <c r="G23" s="8"/>
    </row>
    <row r="24" customFormat="false" ht="15" hidden="false" customHeight="false" outlineLevel="0" collapsed="false">
      <c r="A24" s="8" t="s">
        <v>68</v>
      </c>
      <c r="B24" s="8" t="s">
        <v>69</v>
      </c>
      <c r="C24" s="9"/>
      <c r="D24" s="10" t="s">
        <v>70</v>
      </c>
      <c r="E24" s="8" t="s">
        <v>15</v>
      </c>
      <c r="F24" s="11" t="s">
        <v>71</v>
      </c>
      <c r="G24" s="8"/>
    </row>
    <row r="25" customFormat="false" ht="15" hidden="false" customHeight="false" outlineLevel="0" collapsed="false">
      <c r="A25" s="8" t="s">
        <v>72</v>
      </c>
      <c r="B25" s="8" t="s">
        <v>73</v>
      </c>
      <c r="C25" s="9"/>
      <c r="D25" s="10" t="s">
        <v>48</v>
      </c>
      <c r="E25" s="8" t="s">
        <v>15</v>
      </c>
      <c r="F25" s="11"/>
      <c r="G25" s="8"/>
    </row>
    <row r="26" customFormat="false" ht="15" hidden="false" customHeight="false" outlineLevel="0" collapsed="false">
      <c r="A26" s="8" t="s">
        <v>74</v>
      </c>
      <c r="B26" s="8" t="s">
        <v>75</v>
      </c>
      <c r="C26" s="9"/>
      <c r="D26" s="10" t="s">
        <v>48</v>
      </c>
      <c r="E26" s="8" t="s">
        <v>15</v>
      </c>
      <c r="F26" s="11"/>
      <c r="G26" s="8"/>
    </row>
    <row r="27" customFormat="false" ht="15" hidden="false" customHeight="false" outlineLevel="0" collapsed="false">
      <c r="A27" s="8" t="s">
        <v>76</v>
      </c>
      <c r="B27" s="8" t="s">
        <v>77</v>
      </c>
      <c r="C27" s="9"/>
      <c r="D27" s="10" t="s">
        <v>78</v>
      </c>
      <c r="E27" s="8" t="s">
        <v>24</v>
      </c>
      <c r="F27" s="11" t="s">
        <v>79</v>
      </c>
      <c r="G27" s="8"/>
    </row>
    <row r="28" customFormat="false" ht="32.8" hidden="false" customHeight="false" outlineLevel="0" collapsed="false">
      <c r="A28" s="8" t="s">
        <v>80</v>
      </c>
      <c r="B28" s="8" t="s">
        <v>81</v>
      </c>
      <c r="C28" s="9"/>
      <c r="D28" s="10" t="s">
        <v>82</v>
      </c>
      <c r="E28" s="8" t="s">
        <v>15</v>
      </c>
      <c r="F28" s="11" t="s">
        <v>83</v>
      </c>
      <c r="G28" s="8"/>
    </row>
    <row r="29" customFormat="false" ht="15" hidden="false" customHeight="false" outlineLevel="0" collapsed="false">
      <c r="A29" s="7" t="s">
        <v>84</v>
      </c>
      <c r="B29" s="7"/>
      <c r="C29" s="7"/>
      <c r="D29" s="7"/>
      <c r="E29" s="7"/>
      <c r="F29" s="7"/>
      <c r="G29" s="7"/>
    </row>
    <row r="30" customFormat="false" ht="32.8" hidden="false" customHeight="false" outlineLevel="0" collapsed="false">
      <c r="A30" s="8" t="s">
        <v>85</v>
      </c>
      <c r="B30" s="8" t="s">
        <v>86</v>
      </c>
      <c r="C30" s="9"/>
      <c r="D30" s="10" t="s">
        <v>87</v>
      </c>
      <c r="E30" s="8" t="s">
        <v>15</v>
      </c>
      <c r="F30" s="11" t="s">
        <v>171</v>
      </c>
      <c r="G30" s="8"/>
    </row>
    <row r="31" customFormat="false" ht="23.85" hidden="false" customHeight="false" outlineLevel="0" collapsed="false">
      <c r="A31" s="8" t="s">
        <v>89</v>
      </c>
      <c r="B31" s="8" t="s">
        <v>90</v>
      </c>
      <c r="C31" s="13" t="s">
        <v>91</v>
      </c>
      <c r="D31" s="10" t="s">
        <v>91</v>
      </c>
      <c r="E31" s="8" t="s">
        <v>15</v>
      </c>
      <c r="F31" s="11" t="s">
        <v>92</v>
      </c>
      <c r="G31" s="8"/>
    </row>
    <row r="32" customFormat="false" ht="22.35" hidden="false" customHeight="false" outlineLevel="0" collapsed="false">
      <c r="A32" s="8" t="s">
        <v>93</v>
      </c>
      <c r="B32" s="8" t="s">
        <v>94</v>
      </c>
      <c r="C32" s="14" t="n">
        <v>1</v>
      </c>
      <c r="D32" s="10" t="s">
        <v>95</v>
      </c>
      <c r="E32" s="8" t="s">
        <v>15</v>
      </c>
      <c r="F32" s="11" t="s">
        <v>96</v>
      </c>
      <c r="G32" s="8"/>
    </row>
    <row r="33" customFormat="false" ht="15" hidden="false" customHeight="false" outlineLevel="0" collapsed="false">
      <c r="A33" s="7" t="s">
        <v>97</v>
      </c>
      <c r="B33" s="7"/>
      <c r="C33" s="7"/>
      <c r="D33" s="7"/>
      <c r="E33" s="7"/>
      <c r="F33" s="7"/>
      <c r="G33" s="7"/>
    </row>
    <row r="34" customFormat="false" ht="15" hidden="false" customHeight="false" outlineLevel="0" collapsed="false">
      <c r="A34" s="8" t="s">
        <v>98</v>
      </c>
      <c r="B34" s="8" t="s">
        <v>99</v>
      </c>
      <c r="C34" s="9"/>
      <c r="D34" s="10" t="s">
        <v>100</v>
      </c>
      <c r="E34" s="8" t="s">
        <v>15</v>
      </c>
      <c r="F34" s="11" t="s">
        <v>101</v>
      </c>
      <c r="G34" s="8"/>
    </row>
    <row r="35" customFormat="false" ht="15" hidden="false" customHeight="false" outlineLevel="0" collapsed="false">
      <c r="A35" s="8" t="s">
        <v>102</v>
      </c>
      <c r="B35" s="8" t="s">
        <v>103</v>
      </c>
      <c r="C35" s="9"/>
      <c r="D35" s="10" t="s">
        <v>48</v>
      </c>
      <c r="E35" s="8" t="s">
        <v>15</v>
      </c>
      <c r="F35" s="11"/>
      <c r="G35" s="8"/>
    </row>
    <row r="36" customFormat="false" ht="15" hidden="false" customHeight="false" outlineLevel="0" collapsed="false">
      <c r="A36" s="8" t="s">
        <v>104</v>
      </c>
      <c r="B36" s="8" t="s">
        <v>105</v>
      </c>
      <c r="C36" s="15"/>
      <c r="D36" s="10" t="s">
        <v>106</v>
      </c>
      <c r="E36" s="8" t="s">
        <v>15</v>
      </c>
      <c r="F36" s="11" t="s">
        <v>107</v>
      </c>
      <c r="G36" s="8"/>
    </row>
    <row r="37" customFormat="false" ht="23.85" hidden="false" customHeight="false" outlineLevel="0" collapsed="false">
      <c r="A37" s="8" t="s">
        <v>108</v>
      </c>
      <c r="B37" s="8" t="s">
        <v>109</v>
      </c>
      <c r="C37" s="16" t="str">
        <f aca="false">IF(C36="","",IF(C36&gt;'Checklist Docs &amp; Validation'!$D$4,"OK","À RENOUVELER (expire avant la date repère)"))</f>
        <v/>
      </c>
      <c r="D37" s="10"/>
      <c r="E37" s="8" t="s">
        <v>15</v>
      </c>
      <c r="F37" s="11"/>
      <c r="G37" s="17"/>
    </row>
    <row r="38" customFormat="false" ht="15" hidden="false" customHeight="false" outlineLevel="0" collapsed="false">
      <c r="A38" s="8" t="s">
        <v>110</v>
      </c>
      <c r="B38" s="8" t="s">
        <v>111</v>
      </c>
      <c r="C38" s="9"/>
      <c r="D38" s="10" t="s">
        <v>112</v>
      </c>
      <c r="E38" s="8" t="s">
        <v>15</v>
      </c>
      <c r="F38" s="11" t="s">
        <v>113</v>
      </c>
      <c r="G38" s="8"/>
    </row>
    <row r="39" customFormat="false" ht="15" hidden="false" customHeight="false" outlineLevel="0" collapsed="false">
      <c r="A39" s="7" t="s">
        <v>114</v>
      </c>
      <c r="B39" s="7"/>
      <c r="C39" s="7"/>
      <c r="D39" s="7"/>
      <c r="E39" s="7"/>
      <c r="F39" s="7"/>
      <c r="G39" s="7"/>
    </row>
    <row r="40" customFormat="false" ht="32.8" hidden="false" customHeight="false" outlineLevel="0" collapsed="false">
      <c r="A40" s="8" t="s">
        <v>115</v>
      </c>
      <c r="B40" s="8" t="s">
        <v>116</v>
      </c>
      <c r="C40" s="9"/>
      <c r="D40" s="10" t="s">
        <v>117</v>
      </c>
      <c r="E40" s="8" t="s">
        <v>15</v>
      </c>
      <c r="F40" s="11" t="s">
        <v>118</v>
      </c>
      <c r="G40" s="8"/>
    </row>
    <row r="41" customFormat="false" ht="15" hidden="false" customHeight="false" outlineLevel="0" collapsed="false">
      <c r="A41" s="8" t="s">
        <v>119</v>
      </c>
      <c r="B41" s="8" t="s">
        <v>120</v>
      </c>
      <c r="C41" s="9"/>
      <c r="D41" s="10" t="s">
        <v>121</v>
      </c>
      <c r="E41" s="8" t="s">
        <v>15</v>
      </c>
      <c r="F41" s="11" t="s">
        <v>122</v>
      </c>
      <c r="G41" s="8"/>
    </row>
    <row r="42" customFormat="false" ht="15" hidden="false" customHeight="false" outlineLevel="0" collapsed="false">
      <c r="A42" s="8" t="s">
        <v>123</v>
      </c>
      <c r="B42" s="8" t="s">
        <v>124</v>
      </c>
      <c r="C42" s="9"/>
      <c r="D42" s="10" t="s">
        <v>125</v>
      </c>
      <c r="E42" s="8" t="s">
        <v>15</v>
      </c>
      <c r="F42" s="11" t="s">
        <v>126</v>
      </c>
      <c r="G42" s="8"/>
    </row>
    <row r="43" customFormat="false" ht="22.35" hidden="false" customHeight="false" outlineLevel="0" collapsed="false">
      <c r="A43" s="8" t="s">
        <v>127</v>
      </c>
      <c r="B43" s="8" t="s">
        <v>128</v>
      </c>
      <c r="C43" s="15"/>
      <c r="D43" s="10" t="s">
        <v>129</v>
      </c>
      <c r="E43" s="8" t="s">
        <v>15</v>
      </c>
      <c r="F43" s="11" t="s">
        <v>130</v>
      </c>
      <c r="G43" s="8"/>
    </row>
    <row r="44" customFormat="false" ht="15" hidden="false" customHeight="false" outlineLevel="0" collapsed="false">
      <c r="A44" s="8" t="s">
        <v>131</v>
      </c>
      <c r="B44" s="8" t="s">
        <v>132</v>
      </c>
      <c r="C44" s="16" t="str">
        <f aca="true">IF(OR(C41="",C42="",C43=""),"",IF(AND(C41="600x600",C42&lt;=240,TODAY()-C43&lt;=183,TODAY()&gt;=C43),"OK","À CORRIGER"))</f>
        <v/>
      </c>
      <c r="D44" s="10"/>
      <c r="E44" s="8" t="s">
        <v>15</v>
      </c>
      <c r="F44" s="11"/>
      <c r="G44" s="17"/>
    </row>
    <row r="45" customFormat="false" ht="15" hidden="false" customHeight="false" outlineLevel="0" collapsed="false">
      <c r="A45" s="7" t="s">
        <v>133</v>
      </c>
      <c r="B45" s="7"/>
      <c r="C45" s="7"/>
      <c r="D45" s="7"/>
      <c r="E45" s="7"/>
      <c r="F45" s="7"/>
      <c r="G45" s="7"/>
    </row>
    <row r="46" customFormat="false" ht="15" hidden="false" customHeight="false" outlineLevel="0" collapsed="false">
      <c r="A46" s="8" t="s">
        <v>134</v>
      </c>
      <c r="B46" s="8" t="s">
        <v>135</v>
      </c>
      <c r="C46" s="18" t="str">
        <f aca="false">IF('Demandeur Princ. - Époux (Moi)'!C8="","",'Demandeur Princ. - Époux (Moi)'!C8)</f>
        <v/>
      </c>
      <c r="D46" s="10"/>
      <c r="E46" s="8" t="s">
        <v>136</v>
      </c>
      <c r="F46" s="11"/>
      <c r="G46" s="17"/>
    </row>
    <row r="47" customFormat="false" ht="15" hidden="false" customHeight="false" outlineLevel="0" collapsed="false">
      <c r="A47" s="8" t="s">
        <v>137</v>
      </c>
      <c r="B47" s="8" t="s">
        <v>138</v>
      </c>
      <c r="C47" s="18" t="str">
        <f aca="false">IF('Demandeur Princ. - Époux (Moi)'!C9="","",'Demandeur Princ. - Époux (Moi)'!C9)</f>
        <v/>
      </c>
      <c r="D47" s="10"/>
      <c r="E47" s="8" t="s">
        <v>136</v>
      </c>
      <c r="F47" s="11"/>
      <c r="G47" s="17"/>
    </row>
    <row r="48" customFormat="false" ht="15" hidden="false" customHeight="false" outlineLevel="0" collapsed="false">
      <c r="A48" s="8" t="s">
        <v>139</v>
      </c>
      <c r="B48" s="8" t="s">
        <v>140</v>
      </c>
      <c r="C48" s="18" t="str">
        <f aca="false">IF('Demandeur Princ. - Époux (Moi)'!C10="","",'Demandeur Princ. - Époux (Moi)'!C10)</f>
        <v/>
      </c>
      <c r="D48" s="10"/>
      <c r="E48" s="8" t="s">
        <v>136</v>
      </c>
      <c r="F48" s="11"/>
      <c r="G48" s="17"/>
    </row>
    <row r="49" customFormat="false" ht="15" hidden="false" customHeight="false" outlineLevel="0" collapsed="false">
      <c r="A49" s="8" t="s">
        <v>141</v>
      </c>
      <c r="B49" s="8" t="s">
        <v>142</v>
      </c>
      <c r="C49" s="18" t="str">
        <f aca="false">IF('Demandeur Princ. - Époux (Moi)'!C11="","",'Demandeur Princ. - Époux (Moi)'!C11)</f>
        <v/>
      </c>
      <c r="D49" s="10"/>
      <c r="E49" s="8" t="s">
        <v>136</v>
      </c>
      <c r="F49" s="11"/>
      <c r="G49" s="17"/>
    </row>
    <row r="50" customFormat="false" ht="15" hidden="false" customHeight="false" outlineLevel="0" collapsed="false">
      <c r="A50" s="8" t="s">
        <v>143</v>
      </c>
      <c r="B50" s="8" t="s">
        <v>144</v>
      </c>
      <c r="C50" s="18" t="str">
        <f aca="false">IF(OR('Demandeur Princ. - Époux (Moi)'!C12="",'Demandeur Princ. - Époux (Moi)'!C13="",'Demandeur Princ. - Époux (Moi)'!C14=""),"",TEXT('Demandeur Princ. - Époux (Moi)'!C12,"00")&amp;"/"&amp;TEXT('Demandeur Princ. - Époux (Moi)'!C13,"00")&amp;"/"&amp;'Demandeur Princ. - Époux (Moi)'!C14)</f>
        <v/>
      </c>
      <c r="D50" s="10"/>
      <c r="E50" s="8" t="s">
        <v>136</v>
      </c>
      <c r="F50" s="11"/>
      <c r="G50" s="17"/>
    </row>
    <row r="51" customFormat="false" ht="15" hidden="false" customHeight="false" outlineLevel="0" collapsed="false">
      <c r="A51" s="8" t="s">
        <v>145</v>
      </c>
      <c r="B51" s="8" t="s">
        <v>146</v>
      </c>
      <c r="C51" s="18" t="str">
        <f aca="false">IF('Demandeur Princ. - Époux (Moi)'!C15="","",'Demandeur Princ. - Époux (Moi)'!C15)</f>
        <v/>
      </c>
      <c r="D51" s="10"/>
      <c r="E51" s="8" t="s">
        <v>136</v>
      </c>
      <c r="F51" s="11"/>
      <c r="G51" s="17"/>
    </row>
    <row r="52" customFormat="false" ht="15" hidden="false" customHeight="false" outlineLevel="0" collapsed="false">
      <c r="A52" s="8" t="s">
        <v>147</v>
      </c>
      <c r="B52" s="8" t="s">
        <v>148</v>
      </c>
      <c r="C52" s="18" t="str">
        <f aca="false">IF('Demandeur Princ. - Époux (Moi)'!C16="","",'Demandeur Princ. - Époux (Moi)'!C16)</f>
        <v>Togo</v>
      </c>
      <c r="D52" s="10"/>
      <c r="E52" s="8" t="s">
        <v>136</v>
      </c>
      <c r="F52" s="11"/>
      <c r="G52" s="17"/>
    </row>
    <row r="53" customFormat="false" ht="15" hidden="false" customHeight="false" outlineLevel="0" collapsed="false">
      <c r="A53" s="8" t="s">
        <v>149</v>
      </c>
      <c r="B53" s="8" t="s">
        <v>150</v>
      </c>
      <c r="C53" s="18" t="str">
        <f aca="false">IF('Demandeur Princ. - Époux (Moi)'!C40="","",'Demandeur Princ. - Époux (Moi)'!C40)</f>
        <v/>
      </c>
      <c r="D53" s="10"/>
      <c r="E53" s="8" t="s">
        <v>136</v>
      </c>
      <c r="F53" s="11"/>
      <c r="G53" s="17"/>
    </row>
    <row r="54" customFormat="false" ht="15" hidden="false" customHeight="false" outlineLevel="0" collapsed="false">
      <c r="A54" s="7" t="s">
        <v>151</v>
      </c>
      <c r="B54" s="7"/>
      <c r="C54" s="7"/>
      <c r="D54" s="7"/>
      <c r="E54" s="7"/>
      <c r="F54" s="7"/>
      <c r="G54" s="7"/>
    </row>
    <row r="55" customFormat="false" ht="15" hidden="false" customHeight="false" outlineLevel="0" collapsed="false">
      <c r="A55" s="8" t="s">
        <v>152</v>
      </c>
      <c r="B55" s="8" t="s">
        <v>153</v>
      </c>
      <c r="C55" s="18" t="str">
        <f aca="false">IF('Enfant (Fils)'!C8="","",'Enfant (Fils)'!C8)</f>
        <v/>
      </c>
      <c r="D55" s="10"/>
      <c r="E55" s="8" t="s">
        <v>136</v>
      </c>
      <c r="F55" s="11"/>
      <c r="G55" s="17"/>
    </row>
    <row r="56" customFormat="false" ht="15" hidden="false" customHeight="false" outlineLevel="0" collapsed="false">
      <c r="A56" s="8" t="s">
        <v>154</v>
      </c>
      <c r="B56" s="8" t="s">
        <v>155</v>
      </c>
      <c r="C56" s="18" t="str">
        <f aca="false">IF('Enfant (Fils)'!C9="","",'Enfant (Fils)'!C9)</f>
        <v/>
      </c>
      <c r="D56" s="10"/>
      <c r="E56" s="8" t="s">
        <v>136</v>
      </c>
      <c r="F56" s="11"/>
      <c r="G56" s="17"/>
    </row>
    <row r="57" customFormat="false" ht="15" hidden="false" customHeight="false" outlineLevel="0" collapsed="false">
      <c r="A57" s="8" t="s">
        <v>156</v>
      </c>
      <c r="B57" s="8" t="s">
        <v>157</v>
      </c>
      <c r="C57" s="18" t="str">
        <f aca="false">IF('Enfant (Fils)'!C10="","",'Enfant (Fils)'!C10)</f>
        <v/>
      </c>
      <c r="D57" s="10"/>
      <c r="E57" s="8" t="s">
        <v>136</v>
      </c>
      <c r="F57" s="11"/>
      <c r="G57" s="17"/>
    </row>
    <row r="58" customFormat="false" ht="15" hidden="false" customHeight="false" outlineLevel="0" collapsed="false">
      <c r="A58" s="8" t="s">
        <v>158</v>
      </c>
      <c r="B58" s="8" t="s">
        <v>159</v>
      </c>
      <c r="C58" s="18" t="str">
        <f aca="false">IF('Enfant (Fils)'!C11="","",'Enfant (Fils)'!C11)</f>
        <v/>
      </c>
      <c r="D58" s="10"/>
      <c r="E58" s="8" t="s">
        <v>136</v>
      </c>
      <c r="F58" s="11"/>
      <c r="G58" s="17"/>
    </row>
    <row r="59" customFormat="false" ht="15" hidden="false" customHeight="false" outlineLevel="0" collapsed="false">
      <c r="A59" s="8" t="s">
        <v>160</v>
      </c>
      <c r="B59" s="8" t="s">
        <v>161</v>
      </c>
      <c r="C59" s="18" t="str">
        <f aca="false">IF(OR('Enfant (Fils)'!C12="",'Enfant (Fils)'!C13="",'Enfant (Fils)'!C14=""),"",TEXT('Enfant (Fils)'!C12,"00")&amp;"/"&amp;TEXT('Enfant (Fils)'!C13,"00")&amp;"/"&amp;'Enfant (Fils)'!C14)</f>
        <v/>
      </c>
      <c r="D59" s="10"/>
      <c r="E59" s="8" t="s">
        <v>136</v>
      </c>
      <c r="F59" s="11"/>
      <c r="G59" s="17"/>
    </row>
    <row r="60" customFormat="false" ht="15" hidden="false" customHeight="false" outlineLevel="0" collapsed="false">
      <c r="A60" s="8" t="s">
        <v>162</v>
      </c>
      <c r="B60" s="8" t="s">
        <v>163</v>
      </c>
      <c r="C60" s="18" t="str">
        <f aca="false">IF('Enfant (Fils)'!C15="","",'Enfant (Fils)'!C15)</f>
        <v/>
      </c>
      <c r="D60" s="10"/>
      <c r="E60" s="8" t="s">
        <v>136</v>
      </c>
      <c r="F60" s="11"/>
      <c r="G60" s="17"/>
    </row>
    <row r="61" customFormat="false" ht="15" hidden="false" customHeight="false" outlineLevel="0" collapsed="false">
      <c r="A61" s="8" t="s">
        <v>164</v>
      </c>
      <c r="B61" s="8" t="s">
        <v>165</v>
      </c>
      <c r="C61" s="18" t="str">
        <f aca="false">IF('Enfant (Fils)'!C16="","",'Enfant (Fils)'!C16)</f>
        <v/>
      </c>
      <c r="D61" s="10"/>
      <c r="E61" s="8" t="s">
        <v>136</v>
      </c>
      <c r="F61" s="11"/>
      <c r="G61" s="17"/>
    </row>
    <row r="62" customFormat="false" ht="15" hidden="false" customHeight="false" outlineLevel="0" collapsed="false">
      <c r="A62" s="8" t="s">
        <v>166</v>
      </c>
      <c r="B62" s="8" t="s">
        <v>167</v>
      </c>
      <c r="C62" s="18" t="str">
        <f aca="false">IF('Enfant (Fils)'!C28="","",'Enfant (Fils)'!C28)</f>
        <v/>
      </c>
      <c r="D62" s="10"/>
      <c r="E62" s="8" t="s">
        <v>136</v>
      </c>
      <c r="F62" s="11"/>
      <c r="G62" s="17"/>
    </row>
  </sheetData>
  <mergeCells count="9">
    <mergeCell ref="A1:G1"/>
    <mergeCell ref="A2:G2"/>
    <mergeCell ref="A7:G7"/>
    <mergeCell ref="A18:G18"/>
    <mergeCell ref="A29:G29"/>
    <mergeCell ref="A33:G33"/>
    <mergeCell ref="A39:G39"/>
    <mergeCell ref="A45:G45"/>
    <mergeCell ref="A54:G54"/>
  </mergeCells>
  <dataValidations count="8">
    <dataValidation allowBlank="true" errorStyle="stop" operator="between" showDropDown="false" showErrorMessage="false" showInputMessage="false" sqref="C12" type="whole">
      <formula1>1</formula1>
      <formula2>31</formula2>
    </dataValidation>
    <dataValidation allowBlank="true" errorStyle="stop" operator="between" showDropDown="false" showErrorMessage="false" showInputMessage="false" sqref="C13" type="whole">
      <formula1>1</formula1>
      <formula2>12</formula2>
    </dataValidation>
    <dataValidation allowBlank="true" errorStyle="stop" operator="between" showDropDown="false" showErrorMessage="false" showInputMessage="false" sqref="C14" type="whole">
      <formula1>1900</formula1>
      <formula2>2100</formula2>
    </dataValidation>
    <dataValidation allowBlank="true" errorStyle="stop" operator="between" showDropDown="false" showErrorMessage="false" showInputMessage="false" sqref="C32" type="whole">
      <formula1>0</formula1>
      <formula2>20</formula2>
    </dataValidation>
    <dataValidation allowBlank="true" errorStyle="stop" operator="between" showDropDown="false" showErrorMessage="false" showInputMessage="false" sqref="C11" type="list">
      <formula1>Listes!$D$2:$D$3</formula1>
      <formula2>0</formula2>
    </dataValidation>
    <dataValidation allowBlank="true" errorStyle="stop" operator="between" showDropDown="false" showErrorMessage="false" showInputMessage="false" sqref="C30" type="list">
      <formula1>Listes!$A$2:$A$11</formula1>
      <formula2>0</formula2>
    </dataValidation>
    <dataValidation allowBlank="true" errorStyle="stop" operator="between" showDropDown="false" showErrorMessage="false" showInputMessage="false" sqref="C31" type="list">
      <formula1>Listes!$B$2:$B$7</formula1>
      <formula2>0</formula2>
    </dataValidation>
    <dataValidation allowBlank="true" errorStyle="stop" operator="between" showDropDown="false" showErrorMessage="false" showInputMessage="false" sqref="G7:G62" type="list">
      <formula1>"Oui,Non"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G3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6" topLeftCell="A7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30"/>
    <col collapsed="false" customWidth="true" hidden="false" outlineLevel="0" max="3" min="3" style="0" width="36"/>
    <col collapsed="false" customWidth="true" hidden="false" outlineLevel="0" max="4" min="4" style="0" width="26"/>
    <col collapsed="false" customWidth="true" hidden="false" outlineLevel="0" max="5" min="5" style="0" width="12"/>
    <col collapsed="false" customWidth="true" hidden="false" outlineLevel="0" max="6" min="6" style="0" width="62"/>
    <col collapsed="false" customWidth="true" hidden="false" outlineLevel="0" max="7" min="7" style="0" width="11"/>
  </cols>
  <sheetData>
    <row r="1" customFormat="false" ht="17.35" hidden="false" customHeight="false" outlineLevel="0" collapsed="false">
      <c r="A1" s="1" t="s">
        <v>172</v>
      </c>
      <c r="B1" s="1"/>
      <c r="C1" s="1"/>
      <c r="D1" s="1"/>
      <c r="E1" s="1"/>
      <c r="F1" s="1"/>
      <c r="G1" s="1"/>
    </row>
    <row r="2" customFormat="false" ht="37.5" hidden="false" customHeight="true" outlineLevel="0" collapsed="false">
      <c r="A2" s="2" t="s">
        <v>1</v>
      </c>
      <c r="B2" s="2"/>
      <c r="C2" s="2"/>
      <c r="D2" s="2"/>
      <c r="E2" s="2"/>
      <c r="F2" s="2"/>
      <c r="G2" s="2"/>
    </row>
    <row r="3" customFormat="false" ht="15" hidden="false" customHeight="false" outlineLevel="0" collapsed="false">
      <c r="A3" s="3" t="s">
        <v>2</v>
      </c>
      <c r="B3" s="4"/>
      <c r="C3" s="5" t="n">
        <f aca="false">IFERROR(SUMPRODUCT((E7:E32="Oui")*(C7:C32&lt;&gt;""))/COUNTIF(E7:E32,"Oui"),0)</f>
        <v>0.0588235294117647</v>
      </c>
      <c r="D3" s="4"/>
      <c r="E3" s="4"/>
      <c r="F3" s="4"/>
      <c r="G3" s="4"/>
    </row>
    <row r="4" customFormat="false" ht="15" hidden="false" customHeight="false" outlineLevel="0" collapsed="false">
      <c r="A4" s="3" t="s">
        <v>3</v>
      </c>
      <c r="B4" s="4"/>
      <c r="C4" s="5" t="n">
        <f aca="false">IFERROR(SUMPRODUCT((E7:E32="Oui")*(G7:G32="Oui"))/COUNTIF(E7:E32,"Oui"),0)</f>
        <v>0</v>
      </c>
      <c r="D4" s="4"/>
      <c r="E4" s="4"/>
      <c r="F4" s="4"/>
      <c r="G4" s="4"/>
    </row>
    <row r="5" customFormat="false" ht="15" hidden="false" customHeight="false" outlineLevel="0" collapsed="false">
      <c r="A5" s="4"/>
      <c r="B5" s="4"/>
      <c r="C5" s="4"/>
      <c r="D5" s="4"/>
      <c r="E5" s="4"/>
      <c r="F5" s="4"/>
      <c r="G5" s="4"/>
    </row>
    <row r="6" customFormat="false" ht="15" hidden="false" customHeight="false" outlineLevel="0" collapsed="false">
      <c r="A6" s="6" t="s">
        <v>4</v>
      </c>
      <c r="B6" s="6" t="s">
        <v>5</v>
      </c>
      <c r="C6" s="6" t="s">
        <v>6</v>
      </c>
      <c r="D6" s="6" t="s">
        <v>7</v>
      </c>
      <c r="E6" s="6" t="s">
        <v>8</v>
      </c>
      <c r="F6" s="6" t="s">
        <v>9</v>
      </c>
      <c r="G6" s="6" t="s">
        <v>10</v>
      </c>
    </row>
    <row r="7" customFormat="false" ht="15" hidden="false" customHeight="false" outlineLevel="0" collapsed="false">
      <c r="A7" s="7" t="s">
        <v>173</v>
      </c>
      <c r="B7" s="7"/>
      <c r="C7" s="7"/>
      <c r="D7" s="7"/>
      <c r="E7" s="7"/>
      <c r="F7" s="7"/>
      <c r="G7" s="7"/>
    </row>
    <row r="8" customFormat="false" ht="15" hidden="false" customHeight="false" outlineLevel="0" collapsed="false">
      <c r="A8" s="8" t="s">
        <v>12</v>
      </c>
      <c r="B8" s="8" t="s">
        <v>13</v>
      </c>
      <c r="C8" s="9"/>
      <c r="D8" s="10" t="s">
        <v>14</v>
      </c>
      <c r="E8" s="8" t="s">
        <v>15</v>
      </c>
      <c r="F8" s="11" t="s">
        <v>174</v>
      </c>
      <c r="G8" s="8"/>
    </row>
    <row r="9" customFormat="false" ht="15" hidden="false" customHeight="false" outlineLevel="0" collapsed="false">
      <c r="A9" s="8" t="s">
        <v>17</v>
      </c>
      <c r="B9" s="8" t="s">
        <v>175</v>
      </c>
      <c r="C9" s="9"/>
      <c r="D9" s="10" t="s">
        <v>176</v>
      </c>
      <c r="E9" s="8" t="s">
        <v>15</v>
      </c>
      <c r="F9" s="11"/>
      <c r="G9" s="8"/>
    </row>
    <row r="10" customFormat="false" ht="15" hidden="false" customHeight="false" outlineLevel="0" collapsed="false">
      <c r="A10" s="8" t="s">
        <v>21</v>
      </c>
      <c r="B10" s="8" t="s">
        <v>22</v>
      </c>
      <c r="C10" s="9"/>
      <c r="D10" s="10"/>
      <c r="E10" s="8" t="s">
        <v>24</v>
      </c>
      <c r="F10" s="11"/>
      <c r="G10" s="8"/>
    </row>
    <row r="11" customFormat="false" ht="15" hidden="false" customHeight="false" outlineLevel="0" collapsed="false">
      <c r="A11" s="8" t="s">
        <v>26</v>
      </c>
      <c r="B11" s="8" t="s">
        <v>27</v>
      </c>
      <c r="C11" s="9"/>
      <c r="D11" s="10" t="s">
        <v>28</v>
      </c>
      <c r="E11" s="8" t="s">
        <v>15</v>
      </c>
      <c r="F11" s="11" t="s">
        <v>177</v>
      </c>
      <c r="G11" s="8"/>
    </row>
    <row r="12" customFormat="false" ht="15" hidden="false" customHeight="false" outlineLevel="0" collapsed="false">
      <c r="A12" s="8" t="s">
        <v>30</v>
      </c>
      <c r="B12" s="8" t="s">
        <v>31</v>
      </c>
      <c r="C12" s="12"/>
      <c r="D12" s="10" t="s">
        <v>178</v>
      </c>
      <c r="E12" s="8" t="s">
        <v>15</v>
      </c>
      <c r="F12" s="11"/>
      <c r="G12" s="8"/>
    </row>
    <row r="13" customFormat="false" ht="15" hidden="false" customHeight="false" outlineLevel="0" collapsed="false">
      <c r="A13" s="8" t="s">
        <v>34</v>
      </c>
      <c r="B13" s="8" t="s">
        <v>35</v>
      </c>
      <c r="C13" s="12"/>
      <c r="D13" s="10" t="s">
        <v>179</v>
      </c>
      <c r="E13" s="8" t="s">
        <v>15</v>
      </c>
      <c r="F13" s="11"/>
      <c r="G13" s="8"/>
    </row>
    <row r="14" customFormat="false" ht="15" hidden="false" customHeight="false" outlineLevel="0" collapsed="false">
      <c r="A14" s="8" t="s">
        <v>38</v>
      </c>
      <c r="B14" s="8" t="s">
        <v>39</v>
      </c>
      <c r="C14" s="12"/>
      <c r="D14" s="10" t="s">
        <v>180</v>
      </c>
      <c r="E14" s="8" t="s">
        <v>15</v>
      </c>
      <c r="F14" s="11"/>
      <c r="G14" s="8"/>
    </row>
    <row r="15" customFormat="false" ht="15" hidden="false" customHeight="false" outlineLevel="0" collapsed="false">
      <c r="A15" s="8" t="s">
        <v>42</v>
      </c>
      <c r="B15" s="8" t="s">
        <v>43</v>
      </c>
      <c r="C15" s="9"/>
      <c r="D15" s="10" t="s">
        <v>44</v>
      </c>
      <c r="E15" s="8" t="s">
        <v>15</v>
      </c>
      <c r="F15" s="11"/>
      <c r="G15" s="8"/>
    </row>
    <row r="16" customFormat="false" ht="15" hidden="false" customHeight="false" outlineLevel="0" collapsed="false">
      <c r="A16" s="8" t="s">
        <v>46</v>
      </c>
      <c r="B16" s="8" t="s">
        <v>47</v>
      </c>
      <c r="C16" s="9"/>
      <c r="D16" s="10" t="s">
        <v>48</v>
      </c>
      <c r="E16" s="8" t="s">
        <v>15</v>
      </c>
      <c r="F16" s="11" t="s">
        <v>181</v>
      </c>
      <c r="G16" s="8"/>
    </row>
    <row r="17" customFormat="false" ht="15" hidden="false" customHeight="false" outlineLevel="0" collapsed="false">
      <c r="A17" s="8" t="s">
        <v>182</v>
      </c>
      <c r="B17" s="8" t="s">
        <v>183</v>
      </c>
      <c r="C17" s="9"/>
      <c r="D17" s="10" t="s">
        <v>184</v>
      </c>
      <c r="E17" s="8" t="s">
        <v>15</v>
      </c>
      <c r="F17" s="11" t="s">
        <v>185</v>
      </c>
      <c r="G17" s="8"/>
    </row>
    <row r="18" customFormat="false" ht="15" hidden="false" customHeight="false" outlineLevel="0" collapsed="false">
      <c r="A18" s="7" t="s">
        <v>186</v>
      </c>
      <c r="B18" s="7"/>
      <c r="C18" s="7"/>
      <c r="D18" s="7"/>
      <c r="E18" s="7"/>
      <c r="F18" s="7"/>
      <c r="G18" s="7"/>
    </row>
    <row r="19" customFormat="false" ht="15" hidden="false" customHeight="false" outlineLevel="0" collapsed="false">
      <c r="A19" s="8" t="s">
        <v>187</v>
      </c>
      <c r="B19" s="8" t="s">
        <v>188</v>
      </c>
      <c r="C19" s="13" t="s">
        <v>189</v>
      </c>
      <c r="D19" s="10" t="s">
        <v>189</v>
      </c>
      <c r="E19" s="8" t="s">
        <v>15</v>
      </c>
      <c r="F19" s="11" t="s">
        <v>190</v>
      </c>
      <c r="G19" s="8"/>
    </row>
    <row r="20" customFormat="false" ht="15" hidden="false" customHeight="false" outlineLevel="0" collapsed="false">
      <c r="A20" s="8" t="s">
        <v>191</v>
      </c>
      <c r="B20" s="8" t="s">
        <v>192</v>
      </c>
      <c r="C20" s="15"/>
      <c r="D20" s="10" t="s">
        <v>193</v>
      </c>
      <c r="E20" s="8" t="s">
        <v>24</v>
      </c>
      <c r="F20" s="11" t="s">
        <v>194</v>
      </c>
      <c r="G20" s="8"/>
    </row>
    <row r="21" customFormat="false" ht="15" hidden="false" customHeight="false" outlineLevel="0" collapsed="false">
      <c r="A21" s="8" t="s">
        <v>195</v>
      </c>
      <c r="B21" s="8" t="s">
        <v>196</v>
      </c>
      <c r="C21" s="16" t="str">
        <f aca="false">IF(OR(C12="",C13="",C14="",C20=""),"",IF(DATE(C14+21,C13,C12)&gt;C20,"OK (moins de 21 ans)","ALERTE : 21 ans révolus"))</f>
        <v/>
      </c>
      <c r="D21" s="10"/>
      <c r="E21" s="8" t="s">
        <v>15</v>
      </c>
      <c r="F21" s="11"/>
      <c r="G21" s="17"/>
    </row>
    <row r="22" customFormat="false" ht="15" hidden="false" customHeight="false" outlineLevel="0" collapsed="false">
      <c r="A22" s="7" t="s">
        <v>197</v>
      </c>
      <c r="B22" s="7"/>
      <c r="C22" s="7"/>
      <c r="D22" s="7"/>
      <c r="E22" s="7"/>
      <c r="F22" s="7"/>
      <c r="G22" s="7"/>
    </row>
    <row r="23" customFormat="false" ht="15" hidden="false" customHeight="false" outlineLevel="0" collapsed="false">
      <c r="A23" s="8" t="s">
        <v>98</v>
      </c>
      <c r="B23" s="8" t="s">
        <v>99</v>
      </c>
      <c r="C23" s="9"/>
      <c r="D23" s="10" t="s">
        <v>198</v>
      </c>
      <c r="E23" s="8" t="s">
        <v>24</v>
      </c>
      <c r="F23" s="11"/>
      <c r="G23" s="8"/>
    </row>
    <row r="24" customFormat="false" ht="15" hidden="false" customHeight="false" outlineLevel="0" collapsed="false">
      <c r="A24" s="8" t="s">
        <v>102</v>
      </c>
      <c r="B24" s="8" t="s">
        <v>103</v>
      </c>
      <c r="C24" s="9"/>
      <c r="D24" s="10" t="s">
        <v>48</v>
      </c>
      <c r="E24" s="8" t="s">
        <v>24</v>
      </c>
      <c r="F24" s="11"/>
      <c r="G24" s="8"/>
    </row>
    <row r="25" customFormat="false" ht="15" hidden="false" customHeight="false" outlineLevel="0" collapsed="false">
      <c r="A25" s="8" t="s">
        <v>104</v>
      </c>
      <c r="B25" s="8" t="s">
        <v>105</v>
      </c>
      <c r="C25" s="15"/>
      <c r="D25" s="10" t="s">
        <v>199</v>
      </c>
      <c r="E25" s="8" t="s">
        <v>24</v>
      </c>
      <c r="F25" s="11"/>
      <c r="G25" s="8"/>
    </row>
    <row r="26" customFormat="false" ht="23.85" hidden="false" customHeight="false" outlineLevel="0" collapsed="false">
      <c r="A26" s="8" t="s">
        <v>108</v>
      </c>
      <c r="B26" s="8" t="s">
        <v>109</v>
      </c>
      <c r="C26" s="16" t="str">
        <f aca="false">IF(C25="","",IF(C25&gt;'Checklist Docs &amp; Validation'!$D$4,"OK","À RENOUVELER (expire avant la date repère)"))</f>
        <v/>
      </c>
      <c r="D26" s="10"/>
      <c r="E26" s="8" t="s">
        <v>15</v>
      </c>
      <c r="F26" s="11"/>
      <c r="G26" s="17"/>
    </row>
    <row r="27" customFormat="false" ht="15" hidden="false" customHeight="false" outlineLevel="0" collapsed="false">
      <c r="A27" s="7" t="s">
        <v>200</v>
      </c>
      <c r="B27" s="7"/>
      <c r="C27" s="7"/>
      <c r="D27" s="7"/>
      <c r="E27" s="7"/>
      <c r="F27" s="7"/>
      <c r="G27" s="7"/>
    </row>
    <row r="28" customFormat="false" ht="32.8" hidden="false" customHeight="false" outlineLevel="0" collapsed="false">
      <c r="A28" s="8" t="s">
        <v>115</v>
      </c>
      <c r="B28" s="8" t="s">
        <v>116</v>
      </c>
      <c r="C28" s="9"/>
      <c r="D28" s="10" t="s">
        <v>117</v>
      </c>
      <c r="E28" s="8" t="s">
        <v>15</v>
      </c>
      <c r="F28" s="11" t="s">
        <v>118</v>
      </c>
      <c r="G28" s="8"/>
    </row>
    <row r="29" customFormat="false" ht="15" hidden="false" customHeight="false" outlineLevel="0" collapsed="false">
      <c r="A29" s="8" t="s">
        <v>119</v>
      </c>
      <c r="B29" s="8" t="s">
        <v>120</v>
      </c>
      <c r="C29" s="9"/>
      <c r="D29" s="10" t="s">
        <v>121</v>
      </c>
      <c r="E29" s="8" t="s">
        <v>15</v>
      </c>
      <c r="F29" s="11" t="s">
        <v>122</v>
      </c>
      <c r="G29" s="8"/>
    </row>
    <row r="30" customFormat="false" ht="15" hidden="false" customHeight="false" outlineLevel="0" collapsed="false">
      <c r="A30" s="8" t="s">
        <v>123</v>
      </c>
      <c r="B30" s="8" t="s">
        <v>124</v>
      </c>
      <c r="C30" s="9"/>
      <c r="D30" s="10" t="s">
        <v>125</v>
      </c>
      <c r="E30" s="8" t="s">
        <v>15</v>
      </c>
      <c r="F30" s="11" t="s">
        <v>126</v>
      </c>
      <c r="G30" s="8"/>
    </row>
    <row r="31" customFormat="false" ht="22.35" hidden="false" customHeight="false" outlineLevel="0" collapsed="false">
      <c r="A31" s="8" t="s">
        <v>127</v>
      </c>
      <c r="B31" s="8" t="s">
        <v>128</v>
      </c>
      <c r="C31" s="15"/>
      <c r="D31" s="10" t="s">
        <v>129</v>
      </c>
      <c r="E31" s="8" t="s">
        <v>15</v>
      </c>
      <c r="F31" s="11" t="s">
        <v>130</v>
      </c>
      <c r="G31" s="8"/>
    </row>
    <row r="32" customFormat="false" ht="15" hidden="false" customHeight="false" outlineLevel="0" collapsed="false">
      <c r="A32" s="8" t="s">
        <v>131</v>
      </c>
      <c r="B32" s="8" t="s">
        <v>132</v>
      </c>
      <c r="C32" s="16" t="str">
        <f aca="true">IF(OR(C29="",C30="",C31=""),"",IF(AND(C29="600x600",C30&lt;=240,TODAY()-C31&lt;=183,TODAY()&gt;=C31),"OK","À CORRIGER"))</f>
        <v/>
      </c>
      <c r="D32" s="10"/>
      <c r="E32" s="8" t="s">
        <v>15</v>
      </c>
      <c r="F32" s="11"/>
      <c r="G32" s="17"/>
    </row>
  </sheetData>
  <mergeCells count="6">
    <mergeCell ref="A1:G1"/>
    <mergeCell ref="A2:G2"/>
    <mergeCell ref="A7:G7"/>
    <mergeCell ref="A18:G18"/>
    <mergeCell ref="A22:G22"/>
    <mergeCell ref="A27:G27"/>
  </mergeCells>
  <dataValidations count="6">
    <dataValidation allowBlank="true" errorStyle="stop" operator="between" showDropDown="false" showErrorMessage="false" showInputMessage="false" sqref="C12" type="whole">
      <formula1>1</formula1>
      <formula2>31</formula2>
    </dataValidation>
    <dataValidation allowBlank="true" errorStyle="stop" operator="between" showDropDown="false" showErrorMessage="false" showInputMessage="false" sqref="C13" type="whole">
      <formula1>1</formula1>
      <formula2>12</formula2>
    </dataValidation>
    <dataValidation allowBlank="true" errorStyle="stop" operator="between" showDropDown="false" showErrorMessage="false" showInputMessage="false" sqref="C14" type="whole">
      <formula1>1900</formula1>
      <formula2>2100</formula2>
    </dataValidation>
    <dataValidation allowBlank="true" errorStyle="stop" operator="between" showDropDown="false" showErrorMessage="false" showInputMessage="false" sqref="C11" type="list">
      <formula1>Listes!$D$2:$D$3</formula1>
      <formula2>0</formula2>
    </dataValidation>
    <dataValidation allowBlank="true" errorStyle="stop" operator="between" showDropDown="false" showErrorMessage="false" showInputMessage="false" sqref="C17" type="list">
      <formula1>Listes!$C$2:$C$4</formula1>
      <formula2>0</formula2>
    </dataValidation>
    <dataValidation allowBlank="true" errorStyle="stop" operator="between" showDropDown="false" showErrorMessage="false" showInputMessage="false" sqref="G7:G32" type="list">
      <formula1>"Oui,Non"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4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1" topLeftCell="A1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0"/>
    <col collapsed="false" customWidth="true" hidden="false" outlineLevel="0" max="3" min="3" style="0" width="56"/>
    <col collapsed="false" customWidth="true" hidden="false" outlineLevel="0" max="4" min="4" style="0" width="13"/>
    <col collapsed="false" customWidth="true" hidden="false" outlineLevel="0" max="5" min="5" style="0" width="60"/>
    <col collapsed="false" customWidth="true" hidden="false" outlineLevel="0" max="6" min="6" style="0" width="12"/>
    <col collapsed="false" customWidth="true" hidden="false" outlineLevel="0" max="7" min="7" style="0" width="18"/>
    <col collapsed="false" customWidth="true" hidden="false" outlineLevel="0" max="8" min="8" style="0" width="30"/>
  </cols>
  <sheetData>
    <row r="1" customFormat="false" ht="17.35" hidden="false" customHeight="false" outlineLevel="0" collapsed="false">
      <c r="A1" s="1" t="s">
        <v>201</v>
      </c>
      <c r="B1" s="1"/>
      <c r="C1" s="1"/>
      <c r="D1" s="1"/>
      <c r="E1" s="1"/>
      <c r="F1" s="1"/>
      <c r="G1" s="1"/>
      <c r="H1" s="1"/>
    </row>
    <row r="2" customFormat="false" ht="30" hidden="false" customHeight="true" outlineLevel="0" collapsed="false">
      <c r="A2" s="2" t="s">
        <v>202</v>
      </c>
      <c r="B2" s="2"/>
      <c r="C2" s="2"/>
      <c r="D2" s="2"/>
      <c r="E2" s="2"/>
      <c r="F2" s="2"/>
      <c r="G2" s="2"/>
      <c r="H2" s="2"/>
    </row>
    <row r="3" customFormat="false" ht="15" hidden="false" customHeight="false" outlineLevel="0" collapsed="false">
      <c r="A3" s="4"/>
      <c r="B3" s="4"/>
      <c r="C3" s="4"/>
      <c r="D3" s="4"/>
      <c r="E3" s="4"/>
      <c r="F3" s="4"/>
      <c r="G3" s="4"/>
      <c r="H3" s="4"/>
    </row>
    <row r="4" customFormat="false" ht="32.8" hidden="false" customHeight="false" outlineLevel="0" collapsed="false">
      <c r="A4" s="4"/>
      <c r="B4" s="4"/>
      <c r="C4" s="3" t="s">
        <v>203</v>
      </c>
      <c r="D4" s="19" t="n">
        <v>46660</v>
      </c>
      <c r="E4" s="20" t="s">
        <v>204</v>
      </c>
      <c r="F4" s="4"/>
      <c r="G4" s="4"/>
      <c r="H4" s="4"/>
    </row>
    <row r="5" customFormat="false" ht="15" hidden="false" customHeight="false" outlineLevel="0" collapsed="false">
      <c r="A5" s="4"/>
      <c r="B5" s="4"/>
      <c r="C5" s="4"/>
      <c r="D5" s="4"/>
      <c r="E5" s="4"/>
      <c r="F5" s="4"/>
      <c r="G5" s="4"/>
      <c r="H5" s="4"/>
    </row>
    <row r="6" customFormat="false" ht="15" hidden="false" customHeight="false" outlineLevel="0" collapsed="false">
      <c r="A6" s="4"/>
      <c r="B6" s="4"/>
      <c r="C6" s="3" t="s">
        <v>205</v>
      </c>
      <c r="D6" s="21" t="n">
        <f aca="false">'Demandeur Princ. - Époux (Moi)'!C3</f>
        <v>0.310344827586207</v>
      </c>
      <c r="E6" s="4"/>
      <c r="F6" s="4"/>
      <c r="G6" s="4"/>
      <c r="H6" s="4"/>
    </row>
    <row r="7" customFormat="false" ht="15" hidden="false" customHeight="false" outlineLevel="0" collapsed="false">
      <c r="A7" s="4"/>
      <c r="B7" s="4"/>
      <c r="C7" s="3" t="s">
        <v>206</v>
      </c>
      <c r="D7" s="21" t="n">
        <f aca="false">'Demandeur Princ. - Épouse'!C3</f>
        <v>0.0689655172413793</v>
      </c>
      <c r="E7" s="4"/>
      <c r="F7" s="4"/>
      <c r="G7" s="4"/>
      <c r="H7" s="4"/>
    </row>
    <row r="8" customFormat="false" ht="15" hidden="false" customHeight="false" outlineLevel="0" collapsed="false">
      <c r="A8" s="4"/>
      <c r="B8" s="4"/>
      <c r="C8" s="3" t="s">
        <v>207</v>
      </c>
      <c r="D8" s="21" t="n">
        <f aca="false">'Enfant (Fils)'!C3</f>
        <v>0.0588235294117647</v>
      </c>
      <c r="E8" s="4"/>
      <c r="F8" s="4"/>
      <c r="G8" s="4"/>
      <c r="H8" s="4"/>
    </row>
    <row r="9" customFormat="false" ht="15" hidden="false" customHeight="false" outlineLevel="0" collapsed="false">
      <c r="A9" s="4"/>
      <c r="B9" s="4"/>
      <c r="C9" s="3" t="s">
        <v>208</v>
      </c>
      <c r="D9" s="5" t="n">
        <f aca="false">IFERROR(COUNTIF(F13:F42,"OK")/(COUNTA(F13:F42)-COUNTIF(F13:F42,"N/A")),0)</f>
        <v>0</v>
      </c>
      <c r="E9" s="4"/>
      <c r="F9" s="4"/>
      <c r="G9" s="4"/>
      <c r="H9" s="4"/>
    </row>
    <row r="10" customFormat="false" ht="15" hidden="false" customHeight="false" outlineLevel="0" collapsed="false">
      <c r="A10" s="4"/>
      <c r="B10" s="4"/>
      <c r="C10" s="4"/>
      <c r="D10" s="4"/>
      <c r="E10" s="4"/>
      <c r="F10" s="4"/>
      <c r="G10" s="4"/>
      <c r="H10" s="4"/>
    </row>
    <row r="11" customFormat="false" ht="15" hidden="false" customHeight="false" outlineLevel="0" collapsed="false">
      <c r="A11" s="6" t="s">
        <v>209</v>
      </c>
      <c r="B11" s="6" t="s">
        <v>210</v>
      </c>
      <c r="C11" s="6" t="s">
        <v>211</v>
      </c>
      <c r="D11" s="6" t="s">
        <v>212</v>
      </c>
      <c r="E11" s="6" t="s">
        <v>213</v>
      </c>
      <c r="F11" s="6" t="s">
        <v>214</v>
      </c>
      <c r="G11" s="6" t="s">
        <v>215</v>
      </c>
      <c r="H11" s="6" t="s">
        <v>216</v>
      </c>
    </row>
    <row r="12" customFormat="false" ht="15" hidden="false" customHeight="false" outlineLevel="0" collapsed="false">
      <c r="A12" s="7" t="s">
        <v>217</v>
      </c>
      <c r="B12" s="7"/>
      <c r="C12" s="7"/>
      <c r="D12" s="7"/>
      <c r="E12" s="7"/>
      <c r="F12" s="7"/>
      <c r="G12" s="7"/>
      <c r="H12" s="7"/>
    </row>
    <row r="13" customFormat="false" ht="23.85" hidden="false" customHeight="false" outlineLevel="0" collapsed="false">
      <c r="A13" s="8" t="s">
        <v>95</v>
      </c>
      <c r="B13" s="8" t="s">
        <v>218</v>
      </c>
      <c r="C13" s="8" t="s">
        <v>219</v>
      </c>
      <c r="D13" s="8" t="s">
        <v>220</v>
      </c>
      <c r="E13" s="8" t="s">
        <v>221</v>
      </c>
      <c r="F13" s="9" t="s">
        <v>222</v>
      </c>
      <c r="G13" s="9"/>
      <c r="H13" s="9"/>
    </row>
    <row r="14" customFormat="false" ht="15" hidden="false" customHeight="false" outlineLevel="0" collapsed="false">
      <c r="A14" s="8" t="s">
        <v>223</v>
      </c>
      <c r="B14" s="8" t="s">
        <v>218</v>
      </c>
      <c r="C14" s="8" t="s">
        <v>224</v>
      </c>
      <c r="D14" s="8" t="s">
        <v>220</v>
      </c>
      <c r="E14" s="8" t="s">
        <v>225</v>
      </c>
      <c r="F14" s="9" t="s">
        <v>222</v>
      </c>
      <c r="G14" s="9"/>
      <c r="H14" s="9"/>
    </row>
    <row r="15" customFormat="false" ht="23.85" hidden="false" customHeight="false" outlineLevel="0" collapsed="false">
      <c r="A15" s="8" t="s">
        <v>36</v>
      </c>
      <c r="B15" s="8" t="s">
        <v>218</v>
      </c>
      <c r="C15" s="8" t="s">
        <v>226</v>
      </c>
      <c r="D15" s="8" t="s">
        <v>220</v>
      </c>
      <c r="E15" s="8" t="s">
        <v>227</v>
      </c>
      <c r="F15" s="9" t="s">
        <v>222</v>
      </c>
      <c r="G15" s="9"/>
      <c r="H15" s="9"/>
    </row>
    <row r="16" customFormat="false" ht="15" hidden="false" customHeight="false" outlineLevel="0" collapsed="false">
      <c r="A16" s="8" t="s">
        <v>228</v>
      </c>
      <c r="B16" s="8" t="s">
        <v>218</v>
      </c>
      <c r="C16" s="8" t="s">
        <v>229</v>
      </c>
      <c r="D16" s="8" t="s">
        <v>230</v>
      </c>
      <c r="E16" s="8" t="s">
        <v>231</v>
      </c>
      <c r="F16" s="9" t="s">
        <v>222</v>
      </c>
      <c r="G16" s="9"/>
      <c r="H16" s="9"/>
    </row>
    <row r="17" customFormat="false" ht="15" hidden="false" customHeight="false" outlineLevel="0" collapsed="false">
      <c r="A17" s="8" t="s">
        <v>232</v>
      </c>
      <c r="B17" s="8" t="s">
        <v>218</v>
      </c>
      <c r="C17" s="8" t="s">
        <v>233</v>
      </c>
      <c r="D17" s="8" t="s">
        <v>234</v>
      </c>
      <c r="E17" s="8" t="s">
        <v>235</v>
      </c>
      <c r="F17" s="9" t="s">
        <v>222</v>
      </c>
      <c r="G17" s="9"/>
      <c r="H17" s="9"/>
    </row>
    <row r="18" customFormat="false" ht="23.85" hidden="false" customHeight="false" outlineLevel="0" collapsed="false">
      <c r="A18" s="8" t="s">
        <v>236</v>
      </c>
      <c r="B18" s="8" t="s">
        <v>218</v>
      </c>
      <c r="C18" s="8" t="s">
        <v>237</v>
      </c>
      <c r="D18" s="8" t="s">
        <v>230</v>
      </c>
      <c r="E18" s="8" t="s">
        <v>238</v>
      </c>
      <c r="F18" s="9" t="s">
        <v>222</v>
      </c>
      <c r="G18" s="9"/>
      <c r="H18" s="9"/>
    </row>
    <row r="19" customFormat="false" ht="23.85" hidden="false" customHeight="false" outlineLevel="0" collapsed="false">
      <c r="A19" s="8" t="s">
        <v>32</v>
      </c>
      <c r="B19" s="8" t="s">
        <v>218</v>
      </c>
      <c r="C19" s="8" t="s">
        <v>239</v>
      </c>
      <c r="D19" s="8" t="s">
        <v>234</v>
      </c>
      <c r="E19" s="8" t="s">
        <v>240</v>
      </c>
      <c r="F19" s="9" t="s">
        <v>222</v>
      </c>
      <c r="G19" s="9"/>
      <c r="H19" s="9"/>
    </row>
    <row r="20" customFormat="false" ht="23.85" hidden="false" customHeight="false" outlineLevel="0" collapsed="false">
      <c r="A20" s="8" t="s">
        <v>179</v>
      </c>
      <c r="B20" s="8" t="s">
        <v>218</v>
      </c>
      <c r="C20" s="8" t="s">
        <v>241</v>
      </c>
      <c r="D20" s="8" t="s">
        <v>220</v>
      </c>
      <c r="E20" s="8" t="s">
        <v>242</v>
      </c>
      <c r="F20" s="9" t="s">
        <v>222</v>
      </c>
      <c r="G20" s="9"/>
      <c r="H20" s="9"/>
    </row>
    <row r="21" customFormat="false" ht="23.85" hidden="false" customHeight="false" outlineLevel="0" collapsed="false">
      <c r="A21" s="8" t="s">
        <v>243</v>
      </c>
      <c r="B21" s="8" t="s">
        <v>218</v>
      </c>
      <c r="C21" s="8" t="s">
        <v>244</v>
      </c>
      <c r="D21" s="8" t="s">
        <v>230</v>
      </c>
      <c r="E21" s="8" t="s">
        <v>245</v>
      </c>
      <c r="F21" s="9" t="s">
        <v>222</v>
      </c>
      <c r="G21" s="9"/>
      <c r="H21" s="9"/>
    </row>
    <row r="22" customFormat="false" ht="35.05" hidden="false" customHeight="false" outlineLevel="0" collapsed="false">
      <c r="A22" s="8" t="s">
        <v>246</v>
      </c>
      <c r="B22" s="8" t="s">
        <v>218</v>
      </c>
      <c r="C22" s="8" t="s">
        <v>247</v>
      </c>
      <c r="D22" s="8" t="s">
        <v>234</v>
      </c>
      <c r="E22" s="8" t="s">
        <v>248</v>
      </c>
      <c r="F22" s="9" t="s">
        <v>222</v>
      </c>
      <c r="G22" s="9"/>
      <c r="H22" s="9"/>
    </row>
    <row r="23" customFormat="false" ht="23.85" hidden="false" customHeight="false" outlineLevel="0" collapsed="false">
      <c r="A23" s="8" t="s">
        <v>249</v>
      </c>
      <c r="B23" s="8" t="s">
        <v>218</v>
      </c>
      <c r="C23" s="8" t="s">
        <v>250</v>
      </c>
      <c r="D23" s="8" t="s">
        <v>251</v>
      </c>
      <c r="E23" s="8" t="s">
        <v>252</v>
      </c>
      <c r="F23" s="9" t="s">
        <v>222</v>
      </c>
      <c r="G23" s="9"/>
      <c r="H23" s="9"/>
    </row>
    <row r="24" customFormat="false" ht="23.85" hidden="false" customHeight="false" outlineLevel="0" collapsed="false">
      <c r="A24" s="8" t="s">
        <v>178</v>
      </c>
      <c r="B24" s="8" t="s">
        <v>218</v>
      </c>
      <c r="C24" s="8" t="s">
        <v>253</v>
      </c>
      <c r="D24" s="8" t="s">
        <v>251</v>
      </c>
      <c r="E24" s="8" t="s">
        <v>254</v>
      </c>
      <c r="F24" s="9" t="s">
        <v>222</v>
      </c>
      <c r="G24" s="9"/>
      <c r="H24" s="9"/>
    </row>
    <row r="25" customFormat="false" ht="23.85" hidden="false" customHeight="false" outlineLevel="0" collapsed="false">
      <c r="A25" s="8" t="s">
        <v>255</v>
      </c>
      <c r="B25" s="8" t="s">
        <v>218</v>
      </c>
      <c r="C25" s="8" t="s">
        <v>256</v>
      </c>
      <c r="D25" s="8" t="s">
        <v>251</v>
      </c>
      <c r="E25" s="8" t="s">
        <v>257</v>
      </c>
      <c r="F25" s="9" t="s">
        <v>222</v>
      </c>
      <c r="G25" s="9"/>
      <c r="H25" s="9"/>
    </row>
    <row r="26" customFormat="false" ht="23.85" hidden="false" customHeight="false" outlineLevel="0" collapsed="false">
      <c r="A26" s="8" t="s">
        <v>258</v>
      </c>
      <c r="B26" s="8" t="s">
        <v>218</v>
      </c>
      <c r="C26" s="8" t="s">
        <v>259</v>
      </c>
      <c r="D26" s="8" t="s">
        <v>220</v>
      </c>
      <c r="E26" s="8" t="s">
        <v>260</v>
      </c>
      <c r="F26" s="9" t="s">
        <v>222</v>
      </c>
      <c r="G26" s="9"/>
      <c r="H26" s="9"/>
    </row>
    <row r="27" customFormat="false" ht="23.85" hidden="false" customHeight="false" outlineLevel="0" collapsed="false">
      <c r="A27" s="8" t="s">
        <v>261</v>
      </c>
      <c r="B27" s="8" t="s">
        <v>218</v>
      </c>
      <c r="C27" s="8" t="s">
        <v>262</v>
      </c>
      <c r="D27" s="8" t="s">
        <v>220</v>
      </c>
      <c r="E27" s="8" t="s">
        <v>263</v>
      </c>
      <c r="F27" s="9" t="s">
        <v>222</v>
      </c>
      <c r="G27" s="9"/>
      <c r="H27" s="9"/>
    </row>
    <row r="28" customFormat="false" ht="15" hidden="false" customHeight="false" outlineLevel="0" collapsed="false">
      <c r="A28" s="8" t="s">
        <v>264</v>
      </c>
      <c r="B28" s="8" t="s">
        <v>218</v>
      </c>
      <c r="C28" s="8" t="s">
        <v>265</v>
      </c>
      <c r="D28" s="8" t="s">
        <v>220</v>
      </c>
      <c r="E28" s="8" t="s">
        <v>266</v>
      </c>
      <c r="F28" s="9" t="s">
        <v>222</v>
      </c>
      <c r="G28" s="9"/>
      <c r="H28" s="9"/>
    </row>
    <row r="29" customFormat="false" ht="15" hidden="false" customHeight="false" outlineLevel="0" collapsed="false">
      <c r="A29" s="8" t="s">
        <v>267</v>
      </c>
      <c r="B29" s="8" t="s">
        <v>218</v>
      </c>
      <c r="C29" s="8" t="s">
        <v>268</v>
      </c>
      <c r="D29" s="8" t="s">
        <v>220</v>
      </c>
      <c r="E29" s="8" t="s">
        <v>269</v>
      </c>
      <c r="F29" s="9" t="s">
        <v>222</v>
      </c>
      <c r="G29" s="9"/>
      <c r="H29" s="9"/>
    </row>
    <row r="30" customFormat="false" ht="15" hidden="false" customHeight="false" outlineLevel="0" collapsed="false">
      <c r="A30" s="7" t="s">
        <v>270</v>
      </c>
      <c r="B30" s="7"/>
      <c r="C30" s="7"/>
      <c r="D30" s="7"/>
      <c r="E30" s="7"/>
      <c r="F30" s="7"/>
      <c r="G30" s="7"/>
      <c r="H30" s="7"/>
    </row>
    <row r="31" customFormat="false" ht="15" hidden="false" customHeight="false" outlineLevel="0" collapsed="false">
      <c r="A31" s="8" t="s">
        <v>271</v>
      </c>
      <c r="B31" s="8" t="s">
        <v>272</v>
      </c>
      <c r="C31" s="8" t="s">
        <v>273</v>
      </c>
      <c r="D31" s="8" t="s">
        <v>220</v>
      </c>
      <c r="E31" s="8" t="s">
        <v>274</v>
      </c>
      <c r="F31" s="9" t="s">
        <v>222</v>
      </c>
      <c r="G31" s="9"/>
      <c r="H31" s="9"/>
    </row>
    <row r="32" customFormat="false" ht="23.85" hidden="false" customHeight="false" outlineLevel="0" collapsed="false">
      <c r="A32" s="8" t="s">
        <v>275</v>
      </c>
      <c r="B32" s="8" t="s">
        <v>272</v>
      </c>
      <c r="C32" s="8" t="s">
        <v>276</v>
      </c>
      <c r="D32" s="8" t="s">
        <v>220</v>
      </c>
      <c r="E32" s="8" t="s">
        <v>277</v>
      </c>
      <c r="F32" s="9" t="s">
        <v>222</v>
      </c>
      <c r="G32" s="9"/>
      <c r="H32" s="9"/>
    </row>
    <row r="33" customFormat="false" ht="23.85" hidden="false" customHeight="false" outlineLevel="0" collapsed="false">
      <c r="A33" s="8" t="s">
        <v>278</v>
      </c>
      <c r="B33" s="8" t="s">
        <v>272</v>
      </c>
      <c r="C33" s="8" t="s">
        <v>279</v>
      </c>
      <c r="D33" s="8" t="s">
        <v>230</v>
      </c>
      <c r="E33" s="8" t="s">
        <v>280</v>
      </c>
      <c r="F33" s="9" t="s">
        <v>222</v>
      </c>
      <c r="G33" s="9"/>
      <c r="H33" s="9"/>
    </row>
    <row r="34" customFormat="false" ht="23.85" hidden="false" customHeight="false" outlineLevel="0" collapsed="false">
      <c r="A34" s="8" t="s">
        <v>281</v>
      </c>
      <c r="B34" s="8" t="s">
        <v>272</v>
      </c>
      <c r="C34" s="8" t="s">
        <v>282</v>
      </c>
      <c r="D34" s="8" t="s">
        <v>234</v>
      </c>
      <c r="E34" s="8" t="s">
        <v>240</v>
      </c>
      <c r="F34" s="9" t="s">
        <v>222</v>
      </c>
      <c r="G34" s="9"/>
      <c r="H34" s="9"/>
    </row>
    <row r="35" customFormat="false" ht="15" hidden="false" customHeight="false" outlineLevel="0" collapsed="false">
      <c r="A35" s="8" t="s">
        <v>283</v>
      </c>
      <c r="B35" s="8" t="s">
        <v>272</v>
      </c>
      <c r="C35" s="8" t="s">
        <v>284</v>
      </c>
      <c r="D35" s="8" t="s">
        <v>220</v>
      </c>
      <c r="E35" s="8" t="s">
        <v>285</v>
      </c>
      <c r="F35" s="9" t="s">
        <v>222</v>
      </c>
      <c r="G35" s="9"/>
      <c r="H35" s="9"/>
    </row>
    <row r="36" customFormat="false" ht="35.05" hidden="false" customHeight="false" outlineLevel="0" collapsed="false">
      <c r="A36" s="8" t="s">
        <v>286</v>
      </c>
      <c r="B36" s="8" t="s">
        <v>272</v>
      </c>
      <c r="C36" s="8" t="s">
        <v>287</v>
      </c>
      <c r="D36" s="8" t="s">
        <v>220</v>
      </c>
      <c r="E36" s="8" t="s">
        <v>288</v>
      </c>
      <c r="F36" s="9" t="s">
        <v>222</v>
      </c>
      <c r="G36" s="9"/>
      <c r="H36" s="9"/>
    </row>
    <row r="37" customFormat="false" ht="15" hidden="false" customHeight="false" outlineLevel="0" collapsed="false">
      <c r="A37" s="8" t="s">
        <v>289</v>
      </c>
      <c r="B37" s="8" t="s">
        <v>272</v>
      </c>
      <c r="C37" s="8" t="s">
        <v>290</v>
      </c>
      <c r="D37" s="8" t="s">
        <v>220</v>
      </c>
      <c r="E37" s="8" t="s">
        <v>291</v>
      </c>
      <c r="F37" s="9" t="s">
        <v>222</v>
      </c>
      <c r="G37" s="9"/>
      <c r="H37" s="9"/>
    </row>
    <row r="38" customFormat="false" ht="15" hidden="false" customHeight="false" outlineLevel="0" collapsed="false">
      <c r="A38" s="7" t="s">
        <v>292</v>
      </c>
      <c r="B38" s="7"/>
      <c r="C38" s="7"/>
      <c r="D38" s="7"/>
      <c r="E38" s="7"/>
      <c r="F38" s="7"/>
      <c r="G38" s="7"/>
      <c r="H38" s="7"/>
    </row>
    <row r="39" customFormat="false" ht="23.85" hidden="false" customHeight="false" outlineLevel="0" collapsed="false">
      <c r="A39" s="8" t="s">
        <v>293</v>
      </c>
      <c r="B39" s="8" t="s">
        <v>294</v>
      </c>
      <c r="C39" s="8" t="s">
        <v>295</v>
      </c>
      <c r="D39" s="8" t="s">
        <v>220</v>
      </c>
      <c r="E39" s="8" t="s">
        <v>296</v>
      </c>
      <c r="F39" s="9" t="s">
        <v>222</v>
      </c>
      <c r="G39" s="9"/>
      <c r="H39" s="9"/>
    </row>
    <row r="40" customFormat="false" ht="23.85" hidden="false" customHeight="false" outlineLevel="0" collapsed="false">
      <c r="A40" s="8" t="s">
        <v>297</v>
      </c>
      <c r="B40" s="8" t="s">
        <v>294</v>
      </c>
      <c r="C40" s="8" t="s">
        <v>298</v>
      </c>
      <c r="D40" s="8" t="s">
        <v>251</v>
      </c>
      <c r="E40" s="8" t="s">
        <v>299</v>
      </c>
      <c r="F40" s="9" t="s">
        <v>222</v>
      </c>
      <c r="G40" s="9"/>
      <c r="H40" s="9"/>
    </row>
    <row r="41" customFormat="false" ht="35.05" hidden="false" customHeight="false" outlineLevel="0" collapsed="false">
      <c r="A41" s="8" t="s">
        <v>300</v>
      </c>
      <c r="B41" s="8" t="s">
        <v>294</v>
      </c>
      <c r="C41" s="8" t="s">
        <v>301</v>
      </c>
      <c r="D41" s="8" t="s">
        <v>251</v>
      </c>
      <c r="E41" s="8" t="s">
        <v>302</v>
      </c>
      <c r="F41" s="9" t="s">
        <v>222</v>
      </c>
      <c r="G41" s="9"/>
      <c r="H41" s="9"/>
    </row>
    <row r="42" customFormat="false" ht="23.85" hidden="false" customHeight="false" outlineLevel="0" collapsed="false">
      <c r="A42" s="8" t="s">
        <v>303</v>
      </c>
      <c r="B42" s="8" t="s">
        <v>294</v>
      </c>
      <c r="C42" s="8" t="s">
        <v>304</v>
      </c>
      <c r="D42" s="8" t="s">
        <v>220</v>
      </c>
      <c r="E42" s="8" t="s">
        <v>305</v>
      </c>
      <c r="F42" s="9" t="s">
        <v>222</v>
      </c>
      <c r="G42" s="9"/>
      <c r="H42" s="9"/>
    </row>
  </sheetData>
  <mergeCells count="5">
    <mergeCell ref="A1:H1"/>
    <mergeCell ref="A2:H2"/>
    <mergeCell ref="A12:H12"/>
    <mergeCell ref="A30:H30"/>
    <mergeCell ref="A38:H38"/>
  </mergeCells>
  <dataValidations count="1">
    <dataValidation allowBlank="true" errorStyle="stop" operator="between" showDropDown="false" showErrorMessage="false" showInputMessage="false" sqref="F13:F42" type="list">
      <formula1>"À faire,En cours,OK,N/A"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7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4" min="2" style="0" width="44"/>
    <col collapsed="false" customWidth="true" hidden="false" outlineLevel="0" max="5" min="5" style="0" width="46"/>
  </cols>
  <sheetData>
    <row r="1" customFormat="false" ht="17.35" hidden="false" customHeight="false" outlineLevel="0" collapsed="false">
      <c r="A1" s="1" t="s">
        <v>306</v>
      </c>
      <c r="B1" s="1"/>
      <c r="C1" s="1"/>
      <c r="D1" s="1"/>
      <c r="E1" s="1"/>
    </row>
    <row r="2" customFormat="false" ht="39.75" hidden="false" customHeight="true" outlineLevel="0" collapsed="false">
      <c r="A2" s="2" t="s">
        <v>307</v>
      </c>
      <c r="B2" s="2"/>
      <c r="C2" s="2"/>
      <c r="D2" s="2"/>
      <c r="E2" s="2"/>
    </row>
    <row r="3" customFormat="false" ht="15" hidden="false" customHeight="false" outlineLevel="0" collapsed="false">
      <c r="A3" s="4"/>
      <c r="B3" s="4"/>
      <c r="C3" s="4"/>
      <c r="D3" s="4"/>
      <c r="E3" s="4"/>
    </row>
    <row r="4" customFormat="false" ht="31.5" hidden="false" customHeight="true" outlineLevel="0" collapsed="false">
      <c r="A4" s="6" t="s">
        <v>308</v>
      </c>
      <c r="B4" s="6" t="s">
        <v>309</v>
      </c>
      <c r="C4" s="6" t="s">
        <v>310</v>
      </c>
      <c r="D4" s="6" t="s">
        <v>311</v>
      </c>
      <c r="E4" s="6" t="s">
        <v>312</v>
      </c>
    </row>
    <row r="5" customFormat="false" ht="15" hidden="false" customHeight="false" outlineLevel="0" collapsed="false">
      <c r="A5" s="7" t="s">
        <v>313</v>
      </c>
      <c r="B5" s="7"/>
      <c r="C5" s="7"/>
      <c r="D5" s="7"/>
      <c r="E5" s="7"/>
    </row>
    <row r="6" customFormat="false" ht="22.35" hidden="false" customHeight="false" outlineLevel="0" collapsed="false">
      <c r="A6" s="8" t="s">
        <v>314</v>
      </c>
      <c r="B6" s="8" t="s">
        <v>315</v>
      </c>
      <c r="C6" s="18" t="str">
        <f aca="false">TRIM('Demandeur Princ. - Époux (Moi)'!C8&amp;" "&amp;'Demandeur Princ. - Époux (Moi)'!C9&amp;" "&amp;'Demandeur Princ. - Époux (Moi)'!C10)</f>
        <v/>
      </c>
      <c r="D6" s="18" t="str">
        <f aca="false">TRIM('Demandeur Princ. - Épouse'!C8&amp;" "&amp;'Demandeur Princ. - Épouse'!C9&amp;" "&amp;'Demandeur Princ. - Épouse'!C10)</f>
        <v/>
      </c>
      <c r="E6" s="11" t="s">
        <v>316</v>
      </c>
    </row>
    <row r="7" customFormat="false" ht="15" hidden="false" customHeight="false" outlineLevel="0" collapsed="false">
      <c r="A7" s="8" t="s">
        <v>314</v>
      </c>
      <c r="B7" s="8" t="s">
        <v>317</v>
      </c>
      <c r="C7" s="18" t="str">
        <f aca="false">TRIM('Demandeur Princ. - Épouse'!C8&amp;" "&amp;'Demandeur Princ. - Épouse'!C9&amp;" "&amp;'Demandeur Princ. - Épouse'!C10)</f>
        <v/>
      </c>
      <c r="D7" s="18" t="str">
        <f aca="false">TRIM('Demandeur Princ. - Époux (Moi)'!C8&amp;" "&amp;'Demandeur Princ. - Époux (Moi)'!C9&amp;" "&amp;'Demandeur Princ. - Époux (Moi)'!C10)</f>
        <v/>
      </c>
      <c r="E7" s="11" t="s">
        <v>318</v>
      </c>
    </row>
    <row r="8" customFormat="false" ht="15" hidden="false" customHeight="false" outlineLevel="0" collapsed="false">
      <c r="A8" s="8" t="s">
        <v>314</v>
      </c>
      <c r="B8" s="8" t="s">
        <v>319</v>
      </c>
      <c r="C8" s="18" t="str">
        <f aca="false">TRIM('Enfant (Fils)'!C8&amp;" "&amp;'Enfant (Fils)'!C9&amp;" "&amp;'Enfant (Fils)'!C10)</f>
        <v/>
      </c>
      <c r="D8" s="18" t="str">
        <f aca="false">TRIM('Enfant (Fils)'!C8&amp;" "&amp;'Enfant (Fils)'!C9&amp;" "&amp;'Enfant (Fils)'!C10)</f>
        <v/>
      </c>
      <c r="E8" s="11" t="s">
        <v>320</v>
      </c>
    </row>
    <row r="9" customFormat="false" ht="15" hidden="false" customHeight="false" outlineLevel="0" collapsed="false">
      <c r="A9" s="8" t="s">
        <v>314</v>
      </c>
      <c r="B9" s="8" t="s">
        <v>321</v>
      </c>
      <c r="C9" s="22" t="n">
        <f aca="false">IF('Demandeur Princ. - Époux (Moi)'!C32="","",'Demandeur Princ. - Époux (Moi)'!C32)</f>
        <v>1</v>
      </c>
      <c r="D9" s="22" t="n">
        <f aca="false">IF('Demandeur Princ. - Épouse'!C32="","",'Demandeur Princ. - Épouse'!C32)</f>
        <v>1</v>
      </c>
      <c r="E9" s="11" t="s">
        <v>322</v>
      </c>
    </row>
    <row r="10" customFormat="false" ht="15" hidden="false" customHeight="false" outlineLevel="0" collapsed="false">
      <c r="A10" s="8" t="s">
        <v>323</v>
      </c>
      <c r="B10" s="8" t="s">
        <v>324</v>
      </c>
      <c r="C10" s="18" t="str">
        <f aca="false">IF('Demandeur Princ. - Époux (Moi)'!C17="","",'Demandeur Princ. - Époux (Moi)'!C17)</f>
        <v>Togo</v>
      </c>
      <c r="D10" s="18" t="str">
        <f aca="false">IF('Demandeur Princ. - Épouse'!C17="","",'Demandeur Princ. - Épouse'!C17)</f>
        <v/>
      </c>
      <c r="E10" s="11" t="s">
        <v>325</v>
      </c>
    </row>
    <row r="11" customFormat="false" ht="15" hidden="false" customHeight="false" outlineLevel="0" collapsed="false">
      <c r="A11" s="8" t="s">
        <v>326</v>
      </c>
      <c r="B11" s="8" t="s">
        <v>327</v>
      </c>
      <c r="C11" s="18" t="str">
        <f aca="false">IF('Demandeur Princ. - Époux (Moi)'!C28="","",'Demandeur Princ. - Époux (Moi)'!C28)</f>
        <v/>
      </c>
      <c r="D11" s="18" t="str">
        <f aca="false">IF('Demandeur Princ. - Épouse'!C28="","",'Demandeur Princ. - Épouse'!C28)</f>
        <v/>
      </c>
      <c r="E11" s="11" t="s">
        <v>328</v>
      </c>
    </row>
    <row r="12" customFormat="false" ht="15" hidden="false" customHeight="false" outlineLevel="0" collapsed="false">
      <c r="A12" s="8" t="s">
        <v>329</v>
      </c>
      <c r="B12" s="8" t="s">
        <v>330</v>
      </c>
      <c r="C12" s="23" t="str">
        <f aca="false">IF('Demandeur Princ. - Époux (Moi)'!C36="","",'Demandeur Princ. - Époux (Moi)'!C36)</f>
        <v/>
      </c>
      <c r="D12" s="23" t="str">
        <f aca="false">IF('Demandeur Princ. - Épouse'!C36="","",'Demandeur Princ. - Épouse'!C36)</f>
        <v/>
      </c>
      <c r="E12" s="11"/>
    </row>
    <row r="13" customFormat="false" ht="15" hidden="false" customHeight="false" outlineLevel="0" collapsed="false">
      <c r="A13" s="8" t="s">
        <v>329</v>
      </c>
      <c r="B13" s="8" t="s">
        <v>331</v>
      </c>
      <c r="C13" s="18" t="str">
        <f aca="false">IF('Demandeur Princ. - Époux (Moi)'!C37="","",'Demandeur Princ. - Époux (Moi)'!C37)</f>
        <v/>
      </c>
      <c r="D13" s="18" t="str">
        <f aca="false">IF('Demandeur Princ. - Épouse'!C37="","",'Demandeur Princ. - Épouse'!C37)</f>
        <v/>
      </c>
      <c r="E13" s="11" t="s">
        <v>332</v>
      </c>
    </row>
    <row r="14" customFormat="false" ht="15" hidden="false" customHeight="false" outlineLevel="0" collapsed="false">
      <c r="A14" s="8" t="s">
        <v>333</v>
      </c>
      <c r="B14" s="8" t="s">
        <v>334</v>
      </c>
      <c r="C14" s="24" t="n">
        <f aca="false">'Demandeur Princ. - Époux (Moi)'!C3</f>
        <v>0.310344827586207</v>
      </c>
      <c r="D14" s="24" t="n">
        <f aca="false">'Demandeur Princ. - Épouse'!C3</f>
        <v>0.0689655172413793</v>
      </c>
      <c r="E14" s="11" t="s">
        <v>335</v>
      </c>
    </row>
    <row r="15" customFormat="false" ht="15" hidden="false" customHeight="false" outlineLevel="0" collapsed="false">
      <c r="A15" s="8" t="s">
        <v>333</v>
      </c>
      <c r="B15" s="8" t="s">
        <v>336</v>
      </c>
      <c r="C15" s="24" t="n">
        <f aca="false">'Demandeur Princ. - Épouse'!C3</f>
        <v>0.0689655172413793</v>
      </c>
      <c r="D15" s="24" t="n">
        <f aca="false">'Demandeur Princ. - Époux (Moi)'!C3</f>
        <v>0.310344827586207</v>
      </c>
      <c r="E15" s="11"/>
    </row>
    <row r="16" customFormat="false" ht="15" hidden="false" customHeight="false" outlineLevel="0" collapsed="false">
      <c r="A16" s="8" t="s">
        <v>333</v>
      </c>
      <c r="B16" s="8" t="s">
        <v>337</v>
      </c>
      <c r="C16" s="24" t="n">
        <f aca="false">'Enfant (Fils)'!C3</f>
        <v>0.0588235294117647</v>
      </c>
      <c r="D16" s="24" t="n">
        <f aca="false">'Enfant (Fils)'!C3</f>
        <v>0.0588235294117647</v>
      </c>
      <c r="E16" s="11"/>
    </row>
    <row r="17" customFormat="false" ht="15" hidden="false" customHeight="false" outlineLevel="0" collapsed="false">
      <c r="A17" s="7" t="s">
        <v>338</v>
      </c>
      <c r="B17" s="7"/>
      <c r="C17" s="7"/>
      <c r="D17" s="7"/>
      <c r="E17" s="7"/>
    </row>
    <row r="18" customFormat="false" ht="15" hidden="false" customHeight="false" outlineLevel="0" collapsed="false">
      <c r="A18" s="8" t="s">
        <v>339</v>
      </c>
      <c r="B18" s="8" t="s">
        <v>340</v>
      </c>
      <c r="C18" s="25"/>
      <c r="D18" s="25"/>
      <c r="E18" s="11"/>
    </row>
    <row r="19" customFormat="false" ht="22.35" hidden="false" customHeight="false" outlineLevel="0" collapsed="false">
      <c r="A19" s="8" t="s">
        <v>339</v>
      </c>
      <c r="B19" s="8" t="s">
        <v>341</v>
      </c>
      <c r="C19" s="9"/>
      <c r="D19" s="9"/>
      <c r="E19" s="11" t="s">
        <v>342</v>
      </c>
    </row>
    <row r="20" customFormat="false" ht="15" hidden="false" customHeight="false" outlineLevel="0" collapsed="false">
      <c r="A20" s="8" t="s">
        <v>339</v>
      </c>
      <c r="B20" s="8" t="s">
        <v>343</v>
      </c>
      <c r="C20" s="9"/>
      <c r="D20" s="9"/>
      <c r="E20" s="11" t="s">
        <v>344</v>
      </c>
    </row>
    <row r="21" customFormat="false" ht="15" hidden="false" customHeight="false" outlineLevel="0" collapsed="false">
      <c r="A21" s="8" t="s">
        <v>339</v>
      </c>
      <c r="B21" s="8" t="s">
        <v>345</v>
      </c>
      <c r="C21" s="9"/>
      <c r="D21" s="9"/>
      <c r="E21" s="11"/>
    </row>
    <row r="22" customFormat="false" ht="15" hidden="false" customHeight="false" outlineLevel="0" collapsed="false">
      <c r="A22" s="8" t="s">
        <v>346</v>
      </c>
      <c r="B22" s="8" t="s">
        <v>347</v>
      </c>
      <c r="C22" s="9" t="s">
        <v>348</v>
      </c>
      <c r="D22" s="9" t="s">
        <v>348</v>
      </c>
      <c r="E22" s="11" t="s">
        <v>349</v>
      </c>
    </row>
    <row r="23" customFormat="false" ht="15" hidden="false" customHeight="false" outlineLevel="0" collapsed="false">
      <c r="A23" s="7" t="s">
        <v>350</v>
      </c>
      <c r="B23" s="7"/>
      <c r="C23" s="7"/>
      <c r="D23" s="7"/>
      <c r="E23" s="7"/>
    </row>
    <row r="24" customFormat="false" ht="15" hidden="false" customHeight="false" outlineLevel="0" collapsed="false">
      <c r="A24" s="8" t="s">
        <v>351</v>
      </c>
      <c r="B24" s="8" t="s">
        <v>352</v>
      </c>
      <c r="C24" s="26" t="str">
        <f aca="false">IF(OR(TRIM(C6)="",TRIM(D6)=""),"",IF(UPPER(TRIM(C6))&lt;&gt;UPPER(TRIM(D6)),"OK","ERREUR : même personne"))</f>
        <v/>
      </c>
      <c r="D24" s="26"/>
      <c r="E24" s="11" t="s">
        <v>353</v>
      </c>
    </row>
    <row r="25" customFormat="false" ht="15" hidden="false" customHeight="false" outlineLevel="0" collapsed="false">
      <c r="A25" s="8" t="s">
        <v>351</v>
      </c>
      <c r="B25" s="8" t="s">
        <v>354</v>
      </c>
      <c r="C25" s="26" t="str">
        <f aca="false">IF(OR('Demandeur Princ. - Époux (Moi)'!C31="",'Demandeur Princ. - Épouse'!C31=""),"",IF('Demandeur Princ. - Époux (Moi)'!C31='Demandeur Princ. - Épouse'!C31,"OK","INCOHÉRENT"))</f>
        <v>OK</v>
      </c>
      <c r="D25" s="26"/>
      <c r="E25" s="11"/>
    </row>
    <row r="26" customFormat="false" ht="15" hidden="false" customHeight="false" outlineLevel="0" collapsed="false">
      <c r="A26" s="8" t="s">
        <v>351</v>
      </c>
      <c r="B26" s="8" t="s">
        <v>355</v>
      </c>
      <c r="C26" s="26" t="str">
        <f aca="false">IF(OR('Demandeur Princ. - Époux (Moi)'!C32="",'Demandeur Princ. - Épouse'!C32=""),"",IF('Demandeur Princ. - Époux (Moi)'!C32='Demandeur Princ. - Épouse'!C32,"OK","INCOHÉRENT"))</f>
        <v>OK</v>
      </c>
      <c r="D26" s="26"/>
      <c r="E26" s="11"/>
    </row>
    <row r="27" customFormat="false" ht="15" hidden="false" customHeight="false" outlineLevel="0" collapsed="false">
      <c r="A27" s="8" t="s">
        <v>351</v>
      </c>
      <c r="B27" s="8" t="s">
        <v>356</v>
      </c>
      <c r="C27" s="26" t="str">
        <f aca="false">IF(AND('Demandeur Princ. - Époux (Moi)'!C17&lt;&gt;"",'Demandeur Princ. - Épouse'!C17&lt;&gt;""),"OK","À renseigner")</f>
        <v>À renseigner</v>
      </c>
      <c r="D27" s="26"/>
      <c r="E27" s="11"/>
    </row>
    <row r="28" customFormat="false" ht="23.85" hidden="false" customHeight="false" outlineLevel="0" collapsed="false">
      <c r="A28" s="8" t="s">
        <v>351</v>
      </c>
      <c r="B28" s="8" t="s">
        <v>357</v>
      </c>
      <c r="C28" s="26" t="str">
        <f aca="false">IF(OR('Demandeur Princ. - Époux (Moi)'!C37="",'Demandeur Princ. - Épouse'!C37=""),"",IF(AND('Demandeur Princ. - Époux (Moi)'!C37="OK",'Demandeur Princ. - Épouse'!C37="OK"),"OK","À corriger"))</f>
        <v/>
      </c>
      <c r="D28" s="26"/>
      <c r="E28" s="11"/>
    </row>
    <row r="29" customFormat="false" ht="15" hidden="false" customHeight="false" outlineLevel="0" collapsed="false">
      <c r="A29" s="8" t="s">
        <v>351</v>
      </c>
      <c r="B29" s="8" t="s">
        <v>358</v>
      </c>
      <c r="C29" s="26" t="str">
        <f aca="false">IF(('Demandeur Princ. - Époux (Moi)'!C44="OK")+('Demandeur Princ. - Épouse'!C44="OK")+('Enfant (Fils)'!C32="OK")=3,"OK","À vérifier")</f>
        <v>À vérifier</v>
      </c>
      <c r="D29" s="26"/>
      <c r="E29" s="11"/>
    </row>
    <row r="30" customFormat="false" ht="15" hidden="false" customHeight="false" outlineLevel="0" collapsed="false">
      <c r="A30" s="7" t="s">
        <v>359</v>
      </c>
      <c r="B30" s="7"/>
      <c r="C30" s="7"/>
      <c r="D30" s="7"/>
      <c r="E30" s="7"/>
    </row>
    <row r="31" customFormat="false" ht="15" hidden="false" customHeight="false" outlineLevel="0" collapsed="false">
      <c r="A31" s="8" t="s">
        <v>360</v>
      </c>
      <c r="B31" s="8" t="s">
        <v>361</v>
      </c>
      <c r="C31" s="18" t="str">
        <f aca="false">IF('Demandeur Princ. - Époux (Moi)'!C8="","",'Demandeur Princ. - Époux (Moi)'!C8)</f>
        <v/>
      </c>
      <c r="D31" s="18" t="str">
        <f aca="false">IF('Demandeur Princ. - Épouse'!C8="","",'Demandeur Princ. - Épouse'!C8)</f>
        <v/>
      </c>
      <c r="E31" s="11"/>
    </row>
    <row r="32" customFormat="false" ht="15" hidden="false" customHeight="false" outlineLevel="0" collapsed="false">
      <c r="A32" s="8" t="s">
        <v>360</v>
      </c>
      <c r="B32" s="8" t="s">
        <v>17</v>
      </c>
      <c r="C32" s="18" t="str">
        <f aca="false">IF('Demandeur Princ. - Époux (Moi)'!C9="","",'Demandeur Princ. - Époux (Moi)'!C9)</f>
        <v/>
      </c>
      <c r="D32" s="18" t="str">
        <f aca="false">IF('Demandeur Princ. - Épouse'!C9="","",'Demandeur Princ. - Épouse'!C9)</f>
        <v/>
      </c>
      <c r="E32" s="11"/>
    </row>
    <row r="33" customFormat="false" ht="15" hidden="false" customHeight="false" outlineLevel="0" collapsed="false">
      <c r="A33" s="8" t="s">
        <v>360</v>
      </c>
      <c r="B33" s="8" t="s">
        <v>21</v>
      </c>
      <c r="C33" s="18" t="str">
        <f aca="false">IF('Demandeur Princ. - Époux (Moi)'!C10="","",'Demandeur Princ. - Époux (Moi)'!C10)</f>
        <v/>
      </c>
      <c r="D33" s="18" t="str">
        <f aca="false">IF('Demandeur Princ. - Épouse'!C10="","",'Demandeur Princ. - Épouse'!C10)</f>
        <v/>
      </c>
      <c r="E33" s="11"/>
    </row>
    <row r="34" customFormat="false" ht="15" hidden="false" customHeight="false" outlineLevel="0" collapsed="false">
      <c r="A34" s="8" t="s">
        <v>360</v>
      </c>
      <c r="B34" s="8" t="s">
        <v>362</v>
      </c>
      <c r="C34" s="18" t="str">
        <f aca="false">IF('Demandeur Princ. - Époux (Moi)'!C11="","",'Demandeur Princ. - Époux (Moi)'!C11)</f>
        <v/>
      </c>
      <c r="D34" s="18" t="str">
        <f aca="false">IF('Demandeur Princ. - Épouse'!C11="","",'Demandeur Princ. - Épouse'!C11)</f>
        <v/>
      </c>
      <c r="E34" s="11"/>
    </row>
    <row r="35" customFormat="false" ht="15" hidden="false" customHeight="false" outlineLevel="0" collapsed="false">
      <c r="A35" s="8" t="s">
        <v>360</v>
      </c>
      <c r="B35" s="8" t="s">
        <v>363</v>
      </c>
      <c r="C35" s="18" t="str">
        <f aca="false">IF(OR('Demandeur Princ. - Époux (Moi)'!C12="",'Demandeur Princ. - Époux (Moi)'!C13="",'Demandeur Princ. - Époux (Moi)'!C14=""),"",TEXT('Demandeur Princ. - Époux (Moi)'!C12,"00")&amp;"/"&amp;TEXT('Demandeur Princ. - Époux (Moi)'!C13,"00")&amp;"/"&amp;'Demandeur Princ. - Époux (Moi)'!C14)</f>
        <v/>
      </c>
      <c r="D35" s="18" t="str">
        <f aca="false">IF(OR('Demandeur Princ. - Épouse'!C12="",'Demandeur Princ. - Épouse'!C13="",'Demandeur Princ. - Épouse'!C14=""),"",TEXT('Demandeur Princ. - Épouse'!C12,"00")&amp;"/"&amp;TEXT('Demandeur Princ. - Épouse'!C13,"00")&amp;"/"&amp;'Demandeur Princ. - Épouse'!C14)</f>
        <v/>
      </c>
      <c r="E35" s="11"/>
    </row>
    <row r="36" customFormat="false" ht="15" hidden="false" customHeight="false" outlineLevel="0" collapsed="false">
      <c r="A36" s="8" t="s">
        <v>360</v>
      </c>
      <c r="B36" s="8" t="s">
        <v>364</v>
      </c>
      <c r="C36" s="18" t="str">
        <f aca="false">IF('Demandeur Princ. - Époux (Moi)'!C15="","",'Demandeur Princ. - Époux (Moi)'!C15)</f>
        <v/>
      </c>
      <c r="D36" s="18" t="str">
        <f aca="false">IF('Demandeur Princ. - Épouse'!C15="","",'Demandeur Princ. - Épouse'!C15)</f>
        <v/>
      </c>
      <c r="E36" s="11"/>
    </row>
    <row r="37" customFormat="false" ht="15" hidden="false" customHeight="false" outlineLevel="0" collapsed="false">
      <c r="A37" s="8" t="s">
        <v>360</v>
      </c>
      <c r="B37" s="8" t="s">
        <v>365</v>
      </c>
      <c r="C37" s="18" t="str">
        <f aca="false">IF('Demandeur Princ. - Époux (Moi)'!C16="","",'Demandeur Princ. - Époux (Moi)'!C16)</f>
        <v>Togo</v>
      </c>
      <c r="D37" s="18" t="str">
        <f aca="false">IF('Demandeur Princ. - Épouse'!C16="","",'Demandeur Princ. - Épouse'!C16)</f>
        <v/>
      </c>
      <c r="E37" s="11"/>
    </row>
    <row r="38" customFormat="false" ht="15" hidden="false" customHeight="false" outlineLevel="0" collapsed="false">
      <c r="A38" s="8" t="s">
        <v>360</v>
      </c>
      <c r="B38" s="8" t="s">
        <v>366</v>
      </c>
      <c r="C38" s="18" t="str">
        <f aca="false">IF('Demandeur Princ. - Époux (Moi)'!C17="","",'Demandeur Princ. - Époux (Moi)'!C17)</f>
        <v>Togo</v>
      </c>
      <c r="D38" s="18" t="str">
        <f aca="false">IF('Demandeur Princ. - Épouse'!C17="","",'Demandeur Princ. - Épouse'!C17)</f>
        <v/>
      </c>
      <c r="E38" s="11"/>
    </row>
    <row r="39" customFormat="false" ht="15" hidden="false" customHeight="false" outlineLevel="0" collapsed="false">
      <c r="A39" s="8" t="s">
        <v>360</v>
      </c>
      <c r="B39" s="8" t="s">
        <v>367</v>
      </c>
      <c r="C39" s="18" t="str">
        <f aca="false">IF('Demandeur Princ. - Époux (Moi)'!C20="","",'Demandeur Princ. - Époux (Moi)'!C20)</f>
        <v/>
      </c>
      <c r="D39" s="18" t="str">
        <f aca="false">IF('Demandeur Princ. - Épouse'!C20="","",'Demandeur Princ. - Épouse'!C20)</f>
        <v/>
      </c>
      <c r="E39" s="11"/>
    </row>
    <row r="40" customFormat="false" ht="15" hidden="false" customHeight="false" outlineLevel="0" collapsed="false">
      <c r="A40" s="8" t="s">
        <v>360</v>
      </c>
      <c r="B40" s="8" t="s">
        <v>368</v>
      </c>
      <c r="C40" s="18" t="str">
        <f aca="false">IF('Demandeur Princ. - Époux (Moi)'!C21="","",'Demandeur Princ. - Époux (Moi)'!C21)</f>
        <v/>
      </c>
      <c r="D40" s="18" t="str">
        <f aca="false">IF('Demandeur Princ. - Épouse'!C21="","",'Demandeur Princ. - Épouse'!C21)</f>
        <v/>
      </c>
      <c r="E40" s="11"/>
    </row>
    <row r="41" customFormat="false" ht="15" hidden="false" customHeight="false" outlineLevel="0" collapsed="false">
      <c r="A41" s="8" t="s">
        <v>360</v>
      </c>
      <c r="B41" s="8" t="s">
        <v>369</v>
      </c>
      <c r="C41" s="18" t="str">
        <f aca="false">IF('Demandeur Princ. - Époux (Moi)'!C22="","",'Demandeur Princ. - Époux (Moi)'!C22)</f>
        <v>Lomé</v>
      </c>
      <c r="D41" s="18" t="str">
        <f aca="false">IF('Demandeur Princ. - Épouse'!C22="","",'Demandeur Princ. - Épouse'!C22)</f>
        <v/>
      </c>
      <c r="E41" s="11"/>
    </row>
    <row r="42" customFormat="false" ht="15" hidden="false" customHeight="false" outlineLevel="0" collapsed="false">
      <c r="A42" s="8" t="s">
        <v>360</v>
      </c>
      <c r="B42" s="8" t="s">
        <v>370</v>
      </c>
      <c r="C42" s="18" t="str">
        <f aca="false">IF('Demandeur Princ. - Époux (Moi)'!C23="","",'Demandeur Princ. - Époux (Moi)'!C23)</f>
        <v/>
      </c>
      <c r="D42" s="18" t="str">
        <f aca="false">IF('Demandeur Princ. - Épouse'!C23="","",'Demandeur Princ. - Épouse'!C23)</f>
        <v/>
      </c>
      <c r="E42" s="11"/>
    </row>
    <row r="43" customFormat="false" ht="15" hidden="false" customHeight="false" outlineLevel="0" collapsed="false">
      <c r="A43" s="8" t="s">
        <v>360</v>
      </c>
      <c r="B43" s="8" t="s">
        <v>371</v>
      </c>
      <c r="C43" s="18" t="str">
        <f aca="false">IF('Demandeur Princ. - Époux (Moi)'!C24="","",'Demandeur Princ. - Époux (Moi)'!C24)</f>
        <v/>
      </c>
      <c r="D43" s="18" t="str">
        <f aca="false">IF('Demandeur Princ. - Épouse'!C24="","",'Demandeur Princ. - Épouse'!C24)</f>
        <v/>
      </c>
      <c r="E43" s="11"/>
    </row>
    <row r="44" customFormat="false" ht="15" hidden="false" customHeight="false" outlineLevel="0" collapsed="false">
      <c r="A44" s="8" t="s">
        <v>360</v>
      </c>
      <c r="B44" s="8" t="s">
        <v>372</v>
      </c>
      <c r="C44" s="18" t="str">
        <f aca="false">IF('Demandeur Princ. - Époux (Moi)'!C25="","",'Demandeur Princ. - Époux (Moi)'!C25)</f>
        <v>Togo</v>
      </c>
      <c r="D44" s="18" t="str">
        <f aca="false">IF('Demandeur Princ. - Épouse'!C25="","",'Demandeur Princ. - Épouse'!C25)</f>
        <v/>
      </c>
      <c r="E44" s="11"/>
    </row>
    <row r="45" customFormat="false" ht="15" hidden="false" customHeight="false" outlineLevel="0" collapsed="false">
      <c r="A45" s="8" t="s">
        <v>360</v>
      </c>
      <c r="B45" s="8" t="s">
        <v>373</v>
      </c>
      <c r="C45" s="18" t="str">
        <f aca="false">IF('Demandeur Princ. - Époux (Moi)'!C26="","",'Demandeur Princ. - Époux (Moi)'!C26)</f>
        <v>Togo</v>
      </c>
      <c r="D45" s="18" t="str">
        <f aca="false">IF('Demandeur Princ. - Épouse'!C26="","",'Demandeur Princ. - Épouse'!C26)</f>
        <v/>
      </c>
      <c r="E45" s="11"/>
    </row>
    <row r="46" customFormat="false" ht="15" hidden="false" customHeight="false" outlineLevel="0" collapsed="false">
      <c r="A46" s="8" t="s">
        <v>360</v>
      </c>
      <c r="B46" s="8" t="s">
        <v>374</v>
      </c>
      <c r="C46" s="18" t="str">
        <f aca="false">IF('Demandeur Princ. - Époux (Moi)'!C27="","",'Demandeur Princ. - Époux (Moi)'!C27)</f>
        <v/>
      </c>
      <c r="D46" s="18" t="str">
        <f aca="false">IF('Demandeur Princ. - Épouse'!C27="","",'Demandeur Princ. - Épouse'!C27)</f>
        <v/>
      </c>
      <c r="E46" s="11"/>
    </row>
    <row r="47" customFormat="false" ht="15" hidden="false" customHeight="false" outlineLevel="0" collapsed="false">
      <c r="A47" s="8" t="s">
        <v>360</v>
      </c>
      <c r="B47" s="8" t="s">
        <v>375</v>
      </c>
      <c r="C47" s="18" t="str">
        <f aca="false">IF('Demandeur Princ. - Époux (Moi)'!C28="","",'Demandeur Princ. - Époux (Moi)'!C28)</f>
        <v/>
      </c>
      <c r="D47" s="18" t="str">
        <f aca="false">IF('Demandeur Princ. - Épouse'!C28="","",'Demandeur Princ. - Épouse'!C28)</f>
        <v/>
      </c>
      <c r="E47" s="11"/>
    </row>
    <row r="48" customFormat="false" ht="15" hidden="false" customHeight="false" outlineLevel="0" collapsed="false">
      <c r="A48" s="8" t="s">
        <v>360</v>
      </c>
      <c r="B48" s="8" t="s">
        <v>376</v>
      </c>
      <c r="C48" s="18" t="str">
        <f aca="false">IF('Demandeur Princ. - Époux (Moi)'!C30="","",'Demandeur Princ. - Époux (Moi)'!C30)</f>
        <v>University degree</v>
      </c>
      <c r="D48" s="18" t="str">
        <f aca="false">IF('Demandeur Princ. - Épouse'!C30="","",'Demandeur Princ. - Épouse'!C30)</f>
        <v/>
      </c>
      <c r="E48" s="11"/>
    </row>
    <row r="49" customFormat="false" ht="23.85" hidden="false" customHeight="false" outlineLevel="0" collapsed="false">
      <c r="A49" s="8" t="s">
        <v>360</v>
      </c>
      <c r="B49" s="8" t="s">
        <v>89</v>
      </c>
      <c r="C49" s="18" t="str">
        <f aca="false">IF('Demandeur Princ. - Époux (Moi)'!C31="","",'Demandeur Princ. - Époux (Moi)'!C31)</f>
        <v>Married and my spouse is NOT a U.S. citizen or U.S. LPR</v>
      </c>
      <c r="D49" s="18" t="str">
        <f aca="false">IF('Demandeur Princ. - Épouse'!C31="","",'Demandeur Princ. - Épouse'!C31)</f>
        <v>Married and my spouse is NOT a U.S. citizen or U.S. LPR</v>
      </c>
      <c r="E49" s="11"/>
    </row>
    <row r="50" customFormat="false" ht="15" hidden="false" customHeight="false" outlineLevel="0" collapsed="false">
      <c r="A50" s="8" t="s">
        <v>360</v>
      </c>
      <c r="B50" s="8" t="s">
        <v>93</v>
      </c>
      <c r="C50" s="22" t="n">
        <f aca="false">IF('Demandeur Princ. - Époux (Moi)'!C32="","",'Demandeur Princ. - Époux (Moi)'!C32)</f>
        <v>1</v>
      </c>
      <c r="D50" s="22" t="n">
        <f aca="false">IF('Demandeur Princ. - Épouse'!C32="","",'Demandeur Princ. - Épouse'!C32)</f>
        <v>1</v>
      </c>
      <c r="E50" s="11"/>
    </row>
    <row r="51" customFormat="false" ht="15" hidden="false" customHeight="false" outlineLevel="0" collapsed="false">
      <c r="A51" s="8" t="s">
        <v>360</v>
      </c>
      <c r="B51" s="8" t="s">
        <v>98</v>
      </c>
      <c r="C51" s="18" t="str">
        <f aca="false">IF('Demandeur Princ. - Époux (Moi)'!C34="","",'Demandeur Princ. - Époux (Moi)'!C34)</f>
        <v/>
      </c>
      <c r="D51" s="18" t="str">
        <f aca="false">IF('Demandeur Princ. - Épouse'!C34="","",'Demandeur Princ. - Épouse'!C34)</f>
        <v/>
      </c>
      <c r="E51" s="11"/>
    </row>
    <row r="52" customFormat="false" ht="15" hidden="false" customHeight="false" outlineLevel="0" collapsed="false">
      <c r="A52" s="8" t="s">
        <v>360</v>
      </c>
      <c r="B52" s="8" t="s">
        <v>377</v>
      </c>
      <c r="C52" s="18" t="str">
        <f aca="false">IF('Demandeur Princ. - Époux (Moi)'!C35="","",'Demandeur Princ. - Époux (Moi)'!C35)</f>
        <v>Togo</v>
      </c>
      <c r="D52" s="18" t="str">
        <f aca="false">IF('Demandeur Princ. - Épouse'!C35="","",'Demandeur Princ. - Épouse'!C35)</f>
        <v/>
      </c>
      <c r="E52" s="11"/>
    </row>
    <row r="53" customFormat="false" ht="15" hidden="false" customHeight="false" outlineLevel="0" collapsed="false">
      <c r="A53" s="8" t="s">
        <v>360</v>
      </c>
      <c r="B53" s="8" t="s">
        <v>378</v>
      </c>
      <c r="C53" s="23" t="str">
        <f aca="false">IF('Demandeur Princ. - Époux (Moi)'!C36="","",'Demandeur Princ. - Époux (Moi)'!C36)</f>
        <v/>
      </c>
      <c r="D53" s="23" t="str">
        <f aca="false">IF('Demandeur Princ. - Épouse'!C36="","",'Demandeur Princ. - Épouse'!C36)</f>
        <v/>
      </c>
      <c r="E53" s="11"/>
    </row>
    <row r="54" customFormat="false" ht="15" hidden="false" customHeight="false" outlineLevel="0" collapsed="false">
      <c r="A54" s="8" t="s">
        <v>360</v>
      </c>
      <c r="B54" s="8" t="s">
        <v>379</v>
      </c>
      <c r="C54" s="18" t="str">
        <f aca="false">IF('Demandeur Princ. - Époux (Moi)'!C40="","",'Demandeur Princ. - Époux (Moi)'!C40)</f>
        <v/>
      </c>
      <c r="D54" s="18" t="str">
        <f aca="false">IF('Demandeur Princ. - Épouse'!C40="","",'Demandeur Princ. - Épouse'!C40)</f>
        <v/>
      </c>
      <c r="E54" s="11"/>
    </row>
    <row r="55" customFormat="false" ht="15" hidden="false" customHeight="false" outlineLevel="0" collapsed="false">
      <c r="A55" s="8" t="s">
        <v>360</v>
      </c>
      <c r="B55" s="8" t="s">
        <v>380</v>
      </c>
      <c r="C55" s="18" t="str">
        <f aca="false">IF('Demandeur Princ. - Époux (Moi)'!C38="","",'Demandeur Princ. - Époux (Moi)'!C38)</f>
        <v/>
      </c>
      <c r="D55" s="18" t="str">
        <f aca="false">IF('Demandeur Princ. - Épouse'!C38="","",'Demandeur Princ. - Épouse'!C38)</f>
        <v/>
      </c>
      <c r="E55" s="11"/>
    </row>
    <row r="56" customFormat="false" ht="15" hidden="false" customHeight="false" outlineLevel="0" collapsed="false">
      <c r="A56" s="8" t="s">
        <v>381</v>
      </c>
      <c r="B56" s="8" t="s">
        <v>361</v>
      </c>
      <c r="C56" s="18" t="str">
        <f aca="false">IF('Demandeur Princ. - Épouse'!C8="","",'Demandeur Princ. - Épouse'!C8)</f>
        <v/>
      </c>
      <c r="D56" s="18" t="str">
        <f aca="false">IF('Demandeur Princ. - Époux (Moi)'!C8="","",'Demandeur Princ. - Époux (Moi)'!C8)</f>
        <v/>
      </c>
      <c r="E56" s="11"/>
    </row>
    <row r="57" customFormat="false" ht="15" hidden="false" customHeight="false" outlineLevel="0" collapsed="false">
      <c r="A57" s="8" t="s">
        <v>381</v>
      </c>
      <c r="B57" s="8" t="s">
        <v>17</v>
      </c>
      <c r="C57" s="18" t="str">
        <f aca="false">IF('Demandeur Princ. - Épouse'!C9="","",'Demandeur Princ. - Épouse'!C9)</f>
        <v/>
      </c>
      <c r="D57" s="18" t="str">
        <f aca="false">IF('Demandeur Princ. - Époux (Moi)'!C9="","",'Demandeur Princ. - Époux (Moi)'!C9)</f>
        <v/>
      </c>
      <c r="E57" s="11"/>
    </row>
    <row r="58" customFormat="false" ht="15" hidden="false" customHeight="false" outlineLevel="0" collapsed="false">
      <c r="A58" s="8" t="s">
        <v>381</v>
      </c>
      <c r="B58" s="8" t="s">
        <v>21</v>
      </c>
      <c r="C58" s="18" t="str">
        <f aca="false">IF('Demandeur Princ. - Épouse'!C10="","",'Demandeur Princ. - Épouse'!C10)</f>
        <v/>
      </c>
      <c r="D58" s="18" t="str">
        <f aca="false">IF('Demandeur Princ. - Époux (Moi)'!C10="","",'Demandeur Princ. - Époux (Moi)'!C10)</f>
        <v/>
      </c>
      <c r="E58" s="11"/>
    </row>
    <row r="59" customFormat="false" ht="15" hidden="false" customHeight="false" outlineLevel="0" collapsed="false">
      <c r="A59" s="8" t="s">
        <v>381</v>
      </c>
      <c r="B59" s="8" t="s">
        <v>362</v>
      </c>
      <c r="C59" s="18" t="str">
        <f aca="false">IF('Demandeur Princ. - Épouse'!C11="","",'Demandeur Princ. - Épouse'!C11)</f>
        <v/>
      </c>
      <c r="D59" s="18" t="str">
        <f aca="false">IF('Demandeur Princ. - Époux (Moi)'!C11="","",'Demandeur Princ. - Époux (Moi)'!C11)</f>
        <v/>
      </c>
      <c r="E59" s="11"/>
    </row>
    <row r="60" customFormat="false" ht="15" hidden="false" customHeight="false" outlineLevel="0" collapsed="false">
      <c r="A60" s="8" t="s">
        <v>381</v>
      </c>
      <c r="B60" s="8" t="s">
        <v>382</v>
      </c>
      <c r="C60" s="18" t="str">
        <f aca="false">IF(OR('Demandeur Princ. - Épouse'!C12="",'Demandeur Princ. - Épouse'!C13="",'Demandeur Princ. - Épouse'!C14=""),"",TEXT('Demandeur Princ. - Épouse'!C12,"00")&amp;"/"&amp;TEXT('Demandeur Princ. - Épouse'!C13,"00")&amp;"/"&amp;'Demandeur Princ. - Épouse'!C14)</f>
        <v/>
      </c>
      <c r="D60" s="18" t="str">
        <f aca="false">IF(OR('Demandeur Princ. - Époux (Moi)'!C12="",'Demandeur Princ. - Époux (Moi)'!C13="",'Demandeur Princ. - Époux (Moi)'!C14=""),"",TEXT('Demandeur Princ. - Époux (Moi)'!C12,"00")&amp;"/"&amp;TEXT('Demandeur Princ. - Époux (Moi)'!C13,"00")&amp;"/"&amp;'Demandeur Princ. - Époux (Moi)'!C14)</f>
        <v/>
      </c>
      <c r="E60" s="11"/>
    </row>
    <row r="61" customFormat="false" ht="15" hidden="false" customHeight="false" outlineLevel="0" collapsed="false">
      <c r="A61" s="8" t="s">
        <v>381</v>
      </c>
      <c r="B61" s="8" t="s">
        <v>364</v>
      </c>
      <c r="C61" s="18" t="str">
        <f aca="false">IF('Demandeur Princ. - Épouse'!C15="","",'Demandeur Princ. - Épouse'!C15)</f>
        <v/>
      </c>
      <c r="D61" s="18" t="str">
        <f aca="false">IF('Demandeur Princ. - Époux (Moi)'!C15="","",'Demandeur Princ. - Époux (Moi)'!C15)</f>
        <v/>
      </c>
      <c r="E61" s="11"/>
    </row>
    <row r="62" customFormat="false" ht="15" hidden="false" customHeight="false" outlineLevel="0" collapsed="false">
      <c r="A62" s="8" t="s">
        <v>381</v>
      </c>
      <c r="B62" s="8" t="s">
        <v>365</v>
      </c>
      <c r="C62" s="18" t="str">
        <f aca="false">IF('Demandeur Princ. - Épouse'!C16="","",'Demandeur Princ. - Épouse'!C16)</f>
        <v/>
      </c>
      <c r="D62" s="18" t="str">
        <f aca="false">IF('Demandeur Princ. - Époux (Moi)'!C16="","",'Demandeur Princ. - Époux (Moi)'!C16)</f>
        <v>Togo</v>
      </c>
      <c r="E62" s="11"/>
    </row>
    <row r="63" customFormat="false" ht="15" hidden="false" customHeight="false" outlineLevel="0" collapsed="false">
      <c r="A63" s="8" t="s">
        <v>381</v>
      </c>
      <c r="B63" s="8" t="s">
        <v>379</v>
      </c>
      <c r="C63" s="18" t="str">
        <f aca="false">IF('Demandeur Princ. - Épouse'!C40="","",'Demandeur Princ. - Épouse'!C40)</f>
        <v/>
      </c>
      <c r="D63" s="18" t="str">
        <f aca="false">IF('Demandeur Princ. - Époux (Moi)'!C40="","",'Demandeur Princ. - Époux (Moi)'!C40)</f>
        <v/>
      </c>
      <c r="E63" s="11"/>
    </row>
    <row r="64" customFormat="false" ht="15" hidden="false" customHeight="false" outlineLevel="0" collapsed="false">
      <c r="A64" s="8" t="s">
        <v>383</v>
      </c>
      <c r="B64" s="8" t="s">
        <v>361</v>
      </c>
      <c r="C64" s="18" t="str">
        <f aca="false">IF('Enfant (Fils)'!C8="","",'Enfant (Fils)'!C8)</f>
        <v/>
      </c>
      <c r="D64" s="18" t="str">
        <f aca="false">IF('Enfant (Fils)'!C8="","",'Enfant (Fils)'!C8)</f>
        <v/>
      </c>
      <c r="E64" s="11"/>
    </row>
    <row r="65" customFormat="false" ht="15" hidden="false" customHeight="false" outlineLevel="0" collapsed="false">
      <c r="A65" s="8" t="s">
        <v>383</v>
      </c>
      <c r="B65" s="8" t="s">
        <v>17</v>
      </c>
      <c r="C65" s="18" t="str">
        <f aca="false">IF('Enfant (Fils)'!C9="","",'Enfant (Fils)'!C9)</f>
        <v/>
      </c>
      <c r="D65" s="18" t="str">
        <f aca="false">IF('Enfant (Fils)'!C9="","",'Enfant (Fils)'!C9)</f>
        <v/>
      </c>
      <c r="E65" s="11"/>
    </row>
    <row r="66" customFormat="false" ht="15" hidden="false" customHeight="false" outlineLevel="0" collapsed="false">
      <c r="A66" s="8" t="s">
        <v>383</v>
      </c>
      <c r="B66" s="8" t="s">
        <v>21</v>
      </c>
      <c r="C66" s="18" t="str">
        <f aca="false">IF('Enfant (Fils)'!C10="","",'Enfant (Fils)'!C10)</f>
        <v/>
      </c>
      <c r="D66" s="18" t="str">
        <f aca="false">IF('Enfant (Fils)'!C10="","",'Enfant (Fils)'!C10)</f>
        <v/>
      </c>
      <c r="E66" s="11"/>
    </row>
    <row r="67" customFormat="false" ht="15" hidden="false" customHeight="false" outlineLevel="0" collapsed="false">
      <c r="A67" s="8" t="s">
        <v>383</v>
      </c>
      <c r="B67" s="8" t="s">
        <v>362</v>
      </c>
      <c r="C67" s="18" t="str">
        <f aca="false">IF('Enfant (Fils)'!C11="","",'Enfant (Fils)'!C11)</f>
        <v/>
      </c>
      <c r="D67" s="18" t="str">
        <f aca="false">IF('Enfant (Fils)'!C11="","",'Enfant (Fils)'!C11)</f>
        <v/>
      </c>
      <c r="E67" s="11"/>
    </row>
    <row r="68" customFormat="false" ht="15" hidden="false" customHeight="false" outlineLevel="0" collapsed="false">
      <c r="A68" s="8" t="s">
        <v>383</v>
      </c>
      <c r="B68" s="8" t="s">
        <v>382</v>
      </c>
      <c r="C68" s="18" t="str">
        <f aca="false">IF(OR('Enfant (Fils)'!C12="",'Enfant (Fils)'!C13="",'Enfant (Fils)'!C14=""),"",TEXT('Enfant (Fils)'!C12,"00")&amp;"/"&amp;TEXT('Enfant (Fils)'!C13,"00")&amp;"/"&amp;'Enfant (Fils)'!C14)</f>
        <v/>
      </c>
      <c r="D68" s="18" t="str">
        <f aca="false">IF(OR('Enfant (Fils)'!C12="",'Enfant (Fils)'!C13="",'Enfant (Fils)'!C14=""),"",TEXT('Enfant (Fils)'!C12,"00")&amp;"/"&amp;TEXT('Enfant (Fils)'!C13,"00")&amp;"/"&amp;'Enfant (Fils)'!C14)</f>
        <v/>
      </c>
      <c r="E68" s="11"/>
    </row>
    <row r="69" customFormat="false" ht="15" hidden="false" customHeight="false" outlineLevel="0" collapsed="false">
      <c r="A69" s="8" t="s">
        <v>383</v>
      </c>
      <c r="B69" s="8" t="s">
        <v>364</v>
      </c>
      <c r="C69" s="18" t="str">
        <f aca="false">IF('Enfant (Fils)'!C15="","",'Enfant (Fils)'!C15)</f>
        <v/>
      </c>
      <c r="D69" s="18" t="str">
        <f aca="false">IF('Enfant (Fils)'!C15="","",'Enfant (Fils)'!C15)</f>
        <v/>
      </c>
      <c r="E69" s="11"/>
    </row>
    <row r="70" customFormat="false" ht="15" hidden="false" customHeight="false" outlineLevel="0" collapsed="false">
      <c r="A70" s="8" t="s">
        <v>383</v>
      </c>
      <c r="B70" s="8" t="s">
        <v>365</v>
      </c>
      <c r="C70" s="18" t="str">
        <f aca="false">IF('Enfant (Fils)'!C16="","",'Enfant (Fils)'!C16)</f>
        <v/>
      </c>
      <c r="D70" s="18" t="str">
        <f aca="false">IF('Enfant (Fils)'!C16="","",'Enfant (Fils)'!C16)</f>
        <v/>
      </c>
      <c r="E70" s="11"/>
    </row>
    <row r="71" customFormat="false" ht="15" hidden="false" customHeight="false" outlineLevel="0" collapsed="false">
      <c r="A71" s="8" t="s">
        <v>383</v>
      </c>
      <c r="B71" s="8" t="s">
        <v>379</v>
      </c>
      <c r="C71" s="18" t="str">
        <f aca="false">IF('Enfant (Fils)'!C28="","",'Enfant (Fils)'!C28)</f>
        <v/>
      </c>
      <c r="D71" s="18" t="str">
        <f aca="false">IF('Enfant (Fils)'!C28="","",'Enfant (Fils)'!C28)</f>
        <v/>
      </c>
      <c r="E71" s="11"/>
    </row>
  </sheetData>
  <mergeCells count="12">
    <mergeCell ref="A1:E1"/>
    <mergeCell ref="A2:E2"/>
    <mergeCell ref="A5:E5"/>
    <mergeCell ref="A17:E17"/>
    <mergeCell ref="A23:E23"/>
    <mergeCell ref="C24:D24"/>
    <mergeCell ref="C25:D25"/>
    <mergeCell ref="C26:D26"/>
    <mergeCell ref="C27:D27"/>
    <mergeCell ref="C28:D28"/>
    <mergeCell ref="C29:D29"/>
    <mergeCell ref="A30:E30"/>
  </mergeCells>
  <dataValidations count="6">
    <dataValidation allowBlank="true" errorStyle="stop" operator="between" showDropDown="false" showErrorMessage="false" showInputMessage="false" sqref="C20" type="list">
      <formula1>"Oui,Non"</formula1>
      <formula2>0</formula2>
    </dataValidation>
    <dataValidation allowBlank="true" errorStyle="stop" operator="between" showDropDown="false" showErrorMessage="false" showInputMessage="false" sqref="D20" type="list">
      <formula1>"Oui,Non"</formula1>
      <formula2>0</formula2>
    </dataValidation>
    <dataValidation allowBlank="true" errorStyle="stop" operator="between" showDropDown="false" showErrorMessage="false" showInputMessage="false" sqref="C21" type="list">
      <formula1>"Oui,Non"</formula1>
      <formula2>0</formula2>
    </dataValidation>
    <dataValidation allowBlank="true" errorStyle="stop" operator="between" showDropDown="false" showErrorMessage="false" showInputMessage="false" sqref="D21" type="list">
      <formula1>"Oui,Non"</formula1>
      <formula2>0</formula2>
    </dataValidation>
    <dataValidation allowBlank="true" errorStyle="stop" operator="between" showDropDown="false" showErrorMessage="false" showInputMessage="false" sqref="C22" type="list">
      <formula1>Listes!$E$2:$E$4</formula1>
      <formula2>0</formula2>
    </dataValidation>
    <dataValidation allowBlank="true" errorStyle="stop" operator="between" showDropDown="false" showErrorMessage="false" showInputMessage="false" sqref="D22" type="list">
      <formula1>Listes!$E$2:$E$4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48"/>
    <col collapsed="false" customWidth="true" hidden="false" outlineLevel="0" max="5" min="3" style="0" width="24"/>
  </cols>
  <sheetData>
    <row r="1" customFormat="false" ht="15" hidden="false" customHeight="false" outlineLevel="0" collapsed="false">
      <c r="A1" s="27" t="s">
        <v>384</v>
      </c>
      <c r="B1" s="27" t="s">
        <v>90</v>
      </c>
      <c r="C1" s="27" t="s">
        <v>385</v>
      </c>
      <c r="D1" s="27" t="s">
        <v>27</v>
      </c>
      <c r="E1" s="27" t="s">
        <v>346</v>
      </c>
    </row>
    <row r="2" customFormat="false" ht="15" hidden="false" customHeight="false" outlineLevel="0" collapsed="false">
      <c r="A2" s="28" t="s">
        <v>386</v>
      </c>
      <c r="B2" s="28" t="s">
        <v>189</v>
      </c>
      <c r="C2" s="28" t="s">
        <v>184</v>
      </c>
      <c r="D2" s="28" t="s">
        <v>28</v>
      </c>
      <c r="E2" s="28" t="s">
        <v>348</v>
      </c>
    </row>
    <row r="3" customFormat="false" ht="15" hidden="false" customHeight="false" outlineLevel="0" collapsed="false">
      <c r="A3" s="28" t="s">
        <v>387</v>
      </c>
      <c r="B3" s="28" t="s">
        <v>91</v>
      </c>
      <c r="C3" s="28" t="s">
        <v>388</v>
      </c>
      <c r="D3" s="28" t="s">
        <v>389</v>
      </c>
      <c r="E3" s="28" t="s">
        <v>390</v>
      </c>
    </row>
    <row r="4" customFormat="false" ht="15" hidden="false" customHeight="false" outlineLevel="0" collapsed="false">
      <c r="A4" s="28" t="s">
        <v>391</v>
      </c>
      <c r="B4" s="28" t="s">
        <v>392</v>
      </c>
      <c r="C4" s="28" t="s">
        <v>393</v>
      </c>
      <c r="D4" s="4"/>
      <c r="E4" s="28" t="s">
        <v>394</v>
      </c>
    </row>
    <row r="5" customFormat="false" ht="15" hidden="false" customHeight="false" outlineLevel="0" collapsed="false">
      <c r="A5" s="28" t="s">
        <v>395</v>
      </c>
      <c r="B5" s="28" t="s">
        <v>396</v>
      </c>
      <c r="C5" s="4"/>
      <c r="D5" s="4"/>
      <c r="E5" s="4"/>
    </row>
    <row r="6" customFormat="false" ht="15" hidden="false" customHeight="false" outlineLevel="0" collapsed="false">
      <c r="A6" s="28" t="s">
        <v>397</v>
      </c>
      <c r="B6" s="28" t="s">
        <v>398</v>
      </c>
      <c r="C6" s="4"/>
      <c r="D6" s="4"/>
      <c r="E6" s="4"/>
    </row>
    <row r="7" customFormat="false" ht="15" hidden="false" customHeight="false" outlineLevel="0" collapsed="false">
      <c r="A7" s="28" t="s">
        <v>87</v>
      </c>
      <c r="B7" s="28" t="s">
        <v>399</v>
      </c>
      <c r="C7" s="4"/>
      <c r="D7" s="4"/>
      <c r="E7" s="4"/>
    </row>
    <row r="8" customFormat="false" ht="15" hidden="false" customHeight="false" outlineLevel="0" collapsed="false">
      <c r="A8" s="28" t="s">
        <v>400</v>
      </c>
      <c r="B8" s="4"/>
      <c r="C8" s="4"/>
      <c r="D8" s="4"/>
      <c r="E8" s="4"/>
    </row>
    <row r="9" customFormat="false" ht="15" hidden="false" customHeight="false" outlineLevel="0" collapsed="false">
      <c r="A9" s="28" t="s">
        <v>401</v>
      </c>
      <c r="B9" s="4"/>
      <c r="C9" s="4"/>
      <c r="D9" s="4"/>
      <c r="E9" s="4"/>
    </row>
    <row r="10" customFormat="false" ht="15" hidden="false" customHeight="false" outlineLevel="0" collapsed="false">
      <c r="A10" s="28" t="s">
        <v>402</v>
      </c>
      <c r="B10" s="4"/>
      <c r="C10" s="4"/>
      <c r="D10" s="4"/>
      <c r="E10" s="4"/>
    </row>
    <row r="11" customFormat="false" ht="15" hidden="false" customHeight="false" outlineLevel="0" collapsed="false">
      <c r="A11" s="28" t="s">
        <v>403</v>
      </c>
      <c r="B11" s="4"/>
      <c r="C11" s="4"/>
      <c r="D11" s="4"/>
      <c r="E11" s="4"/>
    </row>
    <row r="12" customFormat="false" ht="15" hidden="false" customHeight="false" outlineLevel="0" collapsed="false">
      <c r="A12" s="4"/>
      <c r="B12" s="4"/>
      <c r="C12" s="4"/>
      <c r="D12" s="4"/>
      <c r="E12" s="4"/>
    </row>
    <row r="13" customFormat="false" ht="15" hidden="false" customHeight="false" outlineLevel="0" collapsed="false">
      <c r="A13" s="4"/>
      <c r="B13" s="4"/>
      <c r="C13" s="4"/>
      <c r="D13" s="4"/>
      <c r="E13" s="4"/>
    </row>
    <row r="14" customFormat="false" ht="15" hidden="false" customHeight="false" outlineLevel="0" collapsed="false">
      <c r="A14" s="29" t="s">
        <v>404</v>
      </c>
      <c r="B14" s="4"/>
      <c r="C14" s="4"/>
      <c r="D14" s="4"/>
      <c r="E14" s="4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2026-10-21T08:05:23Z</dcterms:created>
  <dc:creator>openpyxl</dc:creator>
  <dc:description/>
  <dc:language>en-US</dc:language>
  <cp:lastModifiedBy/>
  <dcterms:modified xsi:type="dcterms:W3CDTF">2026-10-21T08:05:23Z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